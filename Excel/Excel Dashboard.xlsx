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iru\Desktop\"/>
    </mc:Choice>
  </mc:AlternateContent>
  <xr:revisionPtr revIDLastSave="0" documentId="8_{9A46BB5A-2875-4EAB-9C28-D9B2780BC30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ales_Data" sheetId="1" r:id="rId1"/>
    <sheet name="Dashboard" sheetId="8" r:id="rId2"/>
    <sheet name="Cleaned Dataset" sheetId="3" r:id="rId3"/>
    <sheet name="Pivot Tables" sheetId="4" r:id="rId4"/>
    <sheet name="Lookup" sheetId="7" r:id="rId5"/>
  </sheets>
  <definedNames>
    <definedName name="_xlcn.WorksheetConnection_Practice_SalesData.xlsxTable21" hidden="1">Table2[]</definedName>
  </definedNames>
  <calcPr calcId="191029"/>
  <pivotCaches>
    <pivotCache cacheId="173" r:id="rId6"/>
    <pivotCache cacheId="156" r:id="rId7"/>
    <pivotCache cacheId="159" r:id="rId8"/>
    <pivotCache cacheId="171" r:id="rId9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Practice_SalesData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" columnName="OrderDate" columnId="OrderDate"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 a="1"/>
  <c r="L4" i="8" s="1"/>
  <c r="J6" i="8"/>
  <c r="H6" i="8"/>
  <c r="D6" i="8"/>
  <c r="B6" i="8"/>
  <c r="J19" i="3"/>
  <c r="J30" i="3"/>
  <c r="J40" i="3"/>
  <c r="J54" i="3"/>
  <c r="J62" i="3"/>
  <c r="J64" i="3"/>
  <c r="J67" i="3"/>
  <c r="J72" i="3"/>
  <c r="J88" i="3"/>
  <c r="J102" i="3"/>
  <c r="J107" i="3"/>
  <c r="J112" i="3"/>
  <c r="J120" i="3"/>
  <c r="J131" i="3"/>
  <c r="J139" i="3"/>
  <c r="J158" i="3"/>
  <c r="J160" i="3"/>
  <c r="J166" i="3"/>
  <c r="J179" i="3"/>
  <c r="H138" i="3"/>
  <c r="G138" i="3"/>
  <c r="F138" i="3"/>
  <c r="E138" i="3"/>
  <c r="D138" i="3"/>
  <c r="C138" i="3"/>
  <c r="J138" i="3" s="1"/>
  <c r="H145" i="3"/>
  <c r="G145" i="3"/>
  <c r="F145" i="3"/>
  <c r="E145" i="3"/>
  <c r="D145" i="3"/>
  <c r="C145" i="3"/>
  <c r="J145" i="3" s="1"/>
  <c r="H113" i="3"/>
  <c r="G113" i="3"/>
  <c r="F113" i="3"/>
  <c r="E113" i="3"/>
  <c r="D113" i="3"/>
  <c r="C113" i="3"/>
  <c r="J113" i="3" s="1"/>
  <c r="H52" i="3"/>
  <c r="G52" i="3"/>
  <c r="F52" i="3"/>
  <c r="E52" i="3"/>
  <c r="D52" i="3"/>
  <c r="C52" i="3"/>
  <c r="J52" i="3" s="1"/>
  <c r="H147" i="3"/>
  <c r="G147" i="3"/>
  <c r="F147" i="3"/>
  <c r="E147" i="3"/>
  <c r="D147" i="3"/>
  <c r="C147" i="3"/>
  <c r="J147" i="3" s="1"/>
  <c r="H175" i="3"/>
  <c r="G175" i="3"/>
  <c r="F175" i="3"/>
  <c r="E175" i="3"/>
  <c r="D175" i="3"/>
  <c r="C175" i="3"/>
  <c r="J175" i="3" s="1"/>
  <c r="H129" i="3"/>
  <c r="G129" i="3"/>
  <c r="F129" i="3"/>
  <c r="E129" i="3"/>
  <c r="D129" i="3"/>
  <c r="C129" i="3"/>
  <c r="J129" i="3" s="1"/>
  <c r="H181" i="3"/>
  <c r="G181" i="3"/>
  <c r="F181" i="3"/>
  <c r="E181" i="3"/>
  <c r="D181" i="3"/>
  <c r="C181" i="3"/>
  <c r="J181" i="3" s="1"/>
  <c r="H74" i="3"/>
  <c r="G74" i="3"/>
  <c r="F74" i="3"/>
  <c r="E74" i="3"/>
  <c r="D74" i="3"/>
  <c r="C74" i="3"/>
  <c r="J74" i="3" s="1"/>
  <c r="H30" i="3"/>
  <c r="G30" i="3"/>
  <c r="F30" i="3"/>
  <c r="E30" i="3"/>
  <c r="D30" i="3"/>
  <c r="C30" i="3"/>
  <c r="H166" i="3"/>
  <c r="G166" i="3"/>
  <c r="F166" i="3"/>
  <c r="E166" i="3"/>
  <c r="D166" i="3"/>
  <c r="C166" i="3"/>
  <c r="H18" i="3"/>
  <c r="G18" i="3"/>
  <c r="F18" i="3"/>
  <c r="E18" i="3"/>
  <c r="D18" i="3"/>
  <c r="C18" i="3"/>
  <c r="J18" i="3" s="1"/>
  <c r="H117" i="3"/>
  <c r="G117" i="3"/>
  <c r="F117" i="3"/>
  <c r="E117" i="3"/>
  <c r="D117" i="3"/>
  <c r="C117" i="3"/>
  <c r="J117" i="3" s="1"/>
  <c r="H67" i="3"/>
  <c r="G67" i="3"/>
  <c r="F67" i="3"/>
  <c r="E67" i="3"/>
  <c r="D67" i="3"/>
  <c r="C67" i="3"/>
  <c r="H72" i="3"/>
  <c r="G72" i="3"/>
  <c r="F72" i="3"/>
  <c r="E72" i="3"/>
  <c r="D72" i="3"/>
  <c r="C72" i="3"/>
  <c r="H76" i="3"/>
  <c r="G76" i="3"/>
  <c r="F76" i="3"/>
  <c r="E76" i="3"/>
  <c r="D76" i="3"/>
  <c r="C76" i="3"/>
  <c r="J76" i="3" s="1"/>
  <c r="H5" i="3"/>
  <c r="G5" i="3"/>
  <c r="F5" i="3"/>
  <c r="E5" i="3"/>
  <c r="D5" i="3"/>
  <c r="C5" i="3"/>
  <c r="J5" i="3" s="1"/>
  <c r="H89" i="3"/>
  <c r="G89" i="3"/>
  <c r="F89" i="3"/>
  <c r="E89" i="3"/>
  <c r="D89" i="3"/>
  <c r="C89" i="3"/>
  <c r="J89" i="3" s="1"/>
  <c r="H64" i="3"/>
  <c r="G64" i="3"/>
  <c r="F64" i="3"/>
  <c r="E64" i="3"/>
  <c r="D64" i="3"/>
  <c r="C64" i="3"/>
  <c r="H98" i="3"/>
  <c r="G98" i="3"/>
  <c r="F98" i="3"/>
  <c r="E98" i="3"/>
  <c r="D98" i="3"/>
  <c r="C98" i="3"/>
  <c r="J98" i="3" s="1"/>
  <c r="H63" i="3"/>
  <c r="G63" i="3"/>
  <c r="F63" i="3"/>
  <c r="E63" i="3"/>
  <c r="D63" i="3"/>
  <c r="C63" i="3"/>
  <c r="J63" i="3" s="1"/>
  <c r="H19" i="3"/>
  <c r="G19" i="3"/>
  <c r="F19" i="3"/>
  <c r="E19" i="3"/>
  <c r="D19" i="3"/>
  <c r="C19" i="3"/>
  <c r="H6" i="3"/>
  <c r="G6" i="3"/>
  <c r="F6" i="3"/>
  <c r="E6" i="3"/>
  <c r="D6" i="3"/>
  <c r="C6" i="3"/>
  <c r="J6" i="3" s="1"/>
  <c r="H65" i="3"/>
  <c r="G65" i="3"/>
  <c r="F65" i="3"/>
  <c r="E65" i="3"/>
  <c r="D65" i="3"/>
  <c r="C65" i="3"/>
  <c r="J65" i="3" s="1"/>
  <c r="H7" i="3"/>
  <c r="G7" i="3"/>
  <c r="F7" i="3"/>
  <c r="E7" i="3"/>
  <c r="D7" i="3"/>
  <c r="C7" i="3"/>
  <c r="J7" i="3" s="1"/>
  <c r="H102" i="3"/>
  <c r="G102" i="3"/>
  <c r="F102" i="3"/>
  <c r="E102" i="3"/>
  <c r="D102" i="3"/>
  <c r="C102" i="3"/>
  <c r="H160" i="3"/>
  <c r="G160" i="3"/>
  <c r="F160" i="3"/>
  <c r="E160" i="3"/>
  <c r="D160" i="3"/>
  <c r="C160" i="3"/>
  <c r="H107" i="3"/>
  <c r="G107" i="3"/>
  <c r="F107" i="3"/>
  <c r="E107" i="3"/>
  <c r="D107" i="3"/>
  <c r="C107" i="3"/>
  <c r="H75" i="3"/>
  <c r="G75" i="3"/>
  <c r="F75" i="3"/>
  <c r="E75" i="3"/>
  <c r="D75" i="3"/>
  <c r="C75" i="3"/>
  <c r="J75" i="3" s="1"/>
  <c r="H87" i="3"/>
  <c r="G87" i="3"/>
  <c r="F87" i="3"/>
  <c r="E87" i="3"/>
  <c r="D87" i="3"/>
  <c r="C87" i="3"/>
  <c r="J87" i="3" s="1"/>
  <c r="H120" i="3"/>
  <c r="G120" i="3"/>
  <c r="F120" i="3"/>
  <c r="E120" i="3"/>
  <c r="D120" i="3"/>
  <c r="C120" i="3"/>
  <c r="H143" i="3"/>
  <c r="G143" i="3"/>
  <c r="F143" i="3"/>
  <c r="E143" i="3"/>
  <c r="D143" i="3"/>
  <c r="C143" i="3"/>
  <c r="J143" i="3" s="1"/>
  <c r="H70" i="3"/>
  <c r="G70" i="3"/>
  <c r="F70" i="3"/>
  <c r="E70" i="3"/>
  <c r="D70" i="3"/>
  <c r="C70" i="3"/>
  <c r="J70" i="3" s="1"/>
  <c r="H62" i="3"/>
  <c r="G62" i="3"/>
  <c r="F62" i="3"/>
  <c r="E62" i="3"/>
  <c r="D62" i="3"/>
  <c r="C62" i="3"/>
  <c r="H180" i="3"/>
  <c r="G180" i="3"/>
  <c r="F180" i="3"/>
  <c r="E180" i="3"/>
  <c r="D180" i="3"/>
  <c r="C180" i="3"/>
  <c r="J180" i="3" s="1"/>
  <c r="H12" i="3"/>
  <c r="G12" i="3"/>
  <c r="F12" i="3"/>
  <c r="E12" i="3"/>
  <c r="D12" i="3"/>
  <c r="C12" i="3"/>
  <c r="J12" i="3" s="1"/>
  <c r="H45" i="3"/>
  <c r="G45" i="3"/>
  <c r="F45" i="3"/>
  <c r="E45" i="3"/>
  <c r="D45" i="3"/>
  <c r="C45" i="3"/>
  <c r="J45" i="3" s="1"/>
  <c r="H88" i="3"/>
  <c r="G88" i="3"/>
  <c r="F88" i="3"/>
  <c r="E88" i="3"/>
  <c r="D88" i="3"/>
  <c r="C88" i="3"/>
  <c r="H125" i="3"/>
  <c r="G125" i="3"/>
  <c r="F125" i="3"/>
  <c r="E125" i="3"/>
  <c r="D125" i="3"/>
  <c r="C125" i="3"/>
  <c r="J125" i="3" s="1"/>
  <c r="H157" i="3"/>
  <c r="G157" i="3"/>
  <c r="F157" i="3"/>
  <c r="E157" i="3"/>
  <c r="D157" i="3"/>
  <c r="C157" i="3"/>
  <c r="J157" i="3" s="1"/>
  <c r="H16" i="3"/>
  <c r="G16" i="3"/>
  <c r="F16" i="3"/>
  <c r="E16" i="3"/>
  <c r="D16" i="3"/>
  <c r="C16" i="3"/>
  <c r="J16" i="3" s="1"/>
  <c r="H95" i="3"/>
  <c r="G95" i="3"/>
  <c r="F95" i="3"/>
  <c r="E95" i="3"/>
  <c r="D95" i="3"/>
  <c r="C95" i="3"/>
  <c r="J95" i="3" s="1"/>
  <c r="H177" i="3"/>
  <c r="G177" i="3"/>
  <c r="F177" i="3"/>
  <c r="E177" i="3"/>
  <c r="D177" i="3"/>
  <c r="C177" i="3"/>
  <c r="J177" i="3" s="1"/>
  <c r="H17" i="3"/>
  <c r="G17" i="3"/>
  <c r="F17" i="3"/>
  <c r="E17" i="3"/>
  <c r="D17" i="3"/>
  <c r="C17" i="3"/>
  <c r="J17" i="3" s="1"/>
  <c r="H165" i="3"/>
  <c r="G165" i="3"/>
  <c r="F165" i="3"/>
  <c r="E165" i="3"/>
  <c r="D165" i="3"/>
  <c r="C165" i="3"/>
  <c r="J165" i="3" s="1"/>
  <c r="H139" i="3"/>
  <c r="G139" i="3"/>
  <c r="F139" i="3"/>
  <c r="E139" i="3"/>
  <c r="D139" i="3"/>
  <c r="C139" i="3"/>
  <c r="H171" i="3"/>
  <c r="G171" i="3"/>
  <c r="F171" i="3"/>
  <c r="E171" i="3"/>
  <c r="D171" i="3"/>
  <c r="C171" i="3"/>
  <c r="J171" i="3" s="1"/>
  <c r="H26" i="3"/>
  <c r="G26" i="3"/>
  <c r="F26" i="3"/>
  <c r="E26" i="3"/>
  <c r="D26" i="3"/>
  <c r="C26" i="3"/>
  <c r="J26" i="3" s="1"/>
  <c r="H21" i="3"/>
  <c r="G21" i="3"/>
  <c r="F21" i="3"/>
  <c r="E21" i="3"/>
  <c r="D21" i="3"/>
  <c r="C21" i="3"/>
  <c r="J21" i="3" s="1"/>
  <c r="H54" i="3"/>
  <c r="G54" i="3"/>
  <c r="F54" i="3"/>
  <c r="E54" i="3"/>
  <c r="D54" i="3"/>
  <c r="C54" i="3"/>
  <c r="H105" i="3"/>
  <c r="G105" i="3"/>
  <c r="F105" i="3"/>
  <c r="E105" i="3"/>
  <c r="D105" i="3"/>
  <c r="C105" i="3"/>
  <c r="J105" i="3" s="1"/>
  <c r="H13" i="3"/>
  <c r="G13" i="3"/>
  <c r="F13" i="3"/>
  <c r="E13" i="3"/>
  <c r="D13" i="3"/>
  <c r="C13" i="3"/>
  <c r="J13" i="3" s="1"/>
  <c r="H163" i="3"/>
  <c r="G163" i="3"/>
  <c r="F163" i="3"/>
  <c r="E163" i="3"/>
  <c r="D163" i="3"/>
  <c r="C163" i="3"/>
  <c r="J163" i="3" s="1"/>
  <c r="H58" i="3"/>
  <c r="G58" i="3"/>
  <c r="F58" i="3"/>
  <c r="E58" i="3"/>
  <c r="D58" i="3"/>
  <c r="C58" i="3"/>
  <c r="J58" i="3" s="1"/>
  <c r="H128" i="3"/>
  <c r="G128" i="3"/>
  <c r="F128" i="3"/>
  <c r="E128" i="3"/>
  <c r="D128" i="3"/>
  <c r="C128" i="3"/>
  <c r="J128" i="3" s="1"/>
  <c r="H31" i="3"/>
  <c r="G31" i="3"/>
  <c r="F31" i="3"/>
  <c r="E31" i="3"/>
  <c r="D31" i="3"/>
  <c r="C31" i="3"/>
  <c r="J31" i="3" s="1"/>
  <c r="H81" i="3"/>
  <c r="G81" i="3"/>
  <c r="F81" i="3"/>
  <c r="E81" i="3"/>
  <c r="D81" i="3"/>
  <c r="C81" i="3"/>
  <c r="J81" i="3" s="1"/>
  <c r="H36" i="3"/>
  <c r="G36" i="3"/>
  <c r="F36" i="3"/>
  <c r="E36" i="3"/>
  <c r="D36" i="3"/>
  <c r="C36" i="3"/>
  <c r="J36" i="3" s="1"/>
  <c r="H156" i="3"/>
  <c r="G156" i="3"/>
  <c r="F156" i="3"/>
  <c r="E156" i="3"/>
  <c r="D156" i="3"/>
  <c r="C156" i="3"/>
  <c r="J156" i="3" s="1"/>
  <c r="H41" i="3"/>
  <c r="G41" i="3"/>
  <c r="F41" i="3"/>
  <c r="E41" i="3"/>
  <c r="D41" i="3"/>
  <c r="C41" i="3"/>
  <c r="J41" i="3" s="1"/>
  <c r="H33" i="3"/>
  <c r="G33" i="3"/>
  <c r="I33" i="3" s="1"/>
  <c r="F33" i="3"/>
  <c r="E33" i="3"/>
  <c r="D33" i="3"/>
  <c r="C33" i="3"/>
  <c r="J33" i="3" s="1"/>
  <c r="H179" i="3"/>
  <c r="G179" i="3"/>
  <c r="F179" i="3"/>
  <c r="E179" i="3"/>
  <c r="D179" i="3"/>
  <c r="C179" i="3"/>
  <c r="H10" i="3"/>
  <c r="G10" i="3"/>
  <c r="F10" i="3"/>
  <c r="E10" i="3"/>
  <c r="D10" i="3"/>
  <c r="C10" i="3"/>
  <c r="J10" i="3" s="1"/>
  <c r="H73" i="3"/>
  <c r="G73" i="3"/>
  <c r="F73" i="3"/>
  <c r="E73" i="3"/>
  <c r="D73" i="3"/>
  <c r="C73" i="3"/>
  <c r="J73" i="3" s="1"/>
  <c r="H132" i="3"/>
  <c r="G132" i="3"/>
  <c r="I132" i="3" s="1"/>
  <c r="F132" i="3"/>
  <c r="E132" i="3"/>
  <c r="D132" i="3"/>
  <c r="C132" i="3"/>
  <c r="J132" i="3" s="1"/>
  <c r="H112" i="3"/>
  <c r="G112" i="3"/>
  <c r="F112" i="3"/>
  <c r="E112" i="3"/>
  <c r="D112" i="3"/>
  <c r="C112" i="3"/>
  <c r="H108" i="3"/>
  <c r="G108" i="3"/>
  <c r="F108" i="3"/>
  <c r="E108" i="3"/>
  <c r="D108" i="3"/>
  <c r="C108" i="3"/>
  <c r="J108" i="3" s="1"/>
  <c r="H155" i="3"/>
  <c r="G155" i="3"/>
  <c r="F155" i="3"/>
  <c r="E155" i="3"/>
  <c r="D155" i="3"/>
  <c r="C155" i="3"/>
  <c r="J155" i="3" s="1"/>
  <c r="H137" i="3"/>
  <c r="G137" i="3"/>
  <c r="I137" i="3" s="1"/>
  <c r="F137" i="3"/>
  <c r="E137" i="3"/>
  <c r="D137" i="3"/>
  <c r="C137" i="3"/>
  <c r="J137" i="3" s="1"/>
  <c r="H131" i="3"/>
  <c r="G131" i="3"/>
  <c r="F131" i="3"/>
  <c r="E131" i="3"/>
  <c r="D131" i="3"/>
  <c r="C131" i="3"/>
  <c r="H174" i="3"/>
  <c r="G174" i="3"/>
  <c r="F174" i="3"/>
  <c r="E174" i="3"/>
  <c r="D174" i="3"/>
  <c r="C174" i="3"/>
  <c r="J174" i="3" s="1"/>
  <c r="H20" i="3"/>
  <c r="G20" i="3"/>
  <c r="F20" i="3"/>
  <c r="E20" i="3"/>
  <c r="D20" i="3"/>
  <c r="C20" i="3"/>
  <c r="J20" i="3" s="1"/>
  <c r="H53" i="3"/>
  <c r="G53" i="3"/>
  <c r="I53" i="3" s="1"/>
  <c r="F53" i="3"/>
  <c r="E53" i="3"/>
  <c r="D53" i="3"/>
  <c r="C53" i="3"/>
  <c r="J53" i="3" s="1"/>
  <c r="H158" i="3"/>
  <c r="G158" i="3"/>
  <c r="F158" i="3"/>
  <c r="E158" i="3"/>
  <c r="D158" i="3"/>
  <c r="C158" i="3"/>
  <c r="H142" i="3"/>
  <c r="G142" i="3"/>
  <c r="F142" i="3"/>
  <c r="E142" i="3"/>
  <c r="D142" i="3"/>
  <c r="C142" i="3"/>
  <c r="J142" i="3" s="1"/>
  <c r="H49" i="3"/>
  <c r="G49" i="3"/>
  <c r="F49" i="3"/>
  <c r="E49" i="3"/>
  <c r="D49" i="3"/>
  <c r="C49" i="3"/>
  <c r="J49" i="3" s="1"/>
  <c r="H66" i="3"/>
  <c r="G66" i="3"/>
  <c r="I66" i="3" s="1"/>
  <c r="F66" i="3"/>
  <c r="E66" i="3"/>
  <c r="D66" i="3"/>
  <c r="C66" i="3"/>
  <c r="J66" i="3" s="1"/>
  <c r="H40" i="3"/>
  <c r="G40" i="3"/>
  <c r="F40" i="3"/>
  <c r="E40" i="3"/>
  <c r="D40" i="3"/>
  <c r="C40" i="3"/>
  <c r="H152" i="3"/>
  <c r="G152" i="3"/>
  <c r="F152" i="3"/>
  <c r="E152" i="3"/>
  <c r="D152" i="3"/>
  <c r="C152" i="3"/>
  <c r="J152" i="3" s="1"/>
  <c r="H14" i="3"/>
  <c r="G14" i="3"/>
  <c r="F14" i="3"/>
  <c r="E14" i="3"/>
  <c r="D14" i="3"/>
  <c r="C14" i="3"/>
  <c r="J14" i="3" s="1"/>
  <c r="H47" i="3"/>
  <c r="G47" i="3"/>
  <c r="I47" i="3" s="1"/>
  <c r="F47" i="3"/>
  <c r="E47" i="3"/>
  <c r="D47" i="3"/>
  <c r="C47" i="3"/>
  <c r="J47" i="3" s="1"/>
  <c r="H39" i="3"/>
  <c r="G39" i="3"/>
  <c r="F39" i="3"/>
  <c r="E39" i="3"/>
  <c r="D39" i="3"/>
  <c r="C39" i="3"/>
  <c r="J39" i="3" s="1"/>
  <c r="H28" i="3"/>
  <c r="G28" i="3"/>
  <c r="F28" i="3"/>
  <c r="E28" i="3"/>
  <c r="D28" i="3"/>
  <c r="C28" i="3"/>
  <c r="J28" i="3" s="1"/>
  <c r="H15" i="3"/>
  <c r="G15" i="3"/>
  <c r="F15" i="3"/>
  <c r="E15" i="3"/>
  <c r="D15" i="3"/>
  <c r="C15" i="3"/>
  <c r="J15" i="3" s="1"/>
  <c r="H32" i="3"/>
  <c r="G32" i="3"/>
  <c r="I32" i="3" s="1"/>
  <c r="F32" i="3"/>
  <c r="E32" i="3"/>
  <c r="D32" i="3"/>
  <c r="C32" i="3"/>
  <c r="J32" i="3" s="1"/>
  <c r="H169" i="3"/>
  <c r="G169" i="3"/>
  <c r="F169" i="3"/>
  <c r="E169" i="3"/>
  <c r="D169" i="3"/>
  <c r="C169" i="3"/>
  <c r="J169" i="3" s="1"/>
  <c r="H93" i="3"/>
  <c r="G93" i="3"/>
  <c r="F93" i="3"/>
  <c r="E93" i="3"/>
  <c r="D93" i="3"/>
  <c r="C93" i="3"/>
  <c r="J93" i="3" s="1"/>
  <c r="H116" i="3"/>
  <c r="G116" i="3"/>
  <c r="F116" i="3"/>
  <c r="E116" i="3"/>
  <c r="D116" i="3"/>
  <c r="C116" i="3"/>
  <c r="J116" i="3" s="1"/>
  <c r="H83" i="3"/>
  <c r="G83" i="3"/>
  <c r="I83" i="3" s="1"/>
  <c r="F83" i="3"/>
  <c r="E83" i="3"/>
  <c r="D83" i="3"/>
  <c r="C83" i="3"/>
  <c r="J83" i="3" s="1"/>
  <c r="H11" i="3"/>
  <c r="G11" i="3"/>
  <c r="F11" i="3"/>
  <c r="E11" i="3"/>
  <c r="D11" i="3"/>
  <c r="C11" i="3"/>
  <c r="J11" i="3" s="1"/>
  <c r="H122" i="3"/>
  <c r="G122" i="3"/>
  <c r="F122" i="3"/>
  <c r="E122" i="3"/>
  <c r="D122" i="3"/>
  <c r="C122" i="3"/>
  <c r="J122" i="3" s="1"/>
  <c r="H4" i="3"/>
  <c r="G4" i="3"/>
  <c r="F4" i="3"/>
  <c r="E4" i="3"/>
  <c r="D4" i="3"/>
  <c r="C4" i="3"/>
  <c r="J4" i="3" s="1"/>
  <c r="H25" i="3"/>
  <c r="G25" i="3"/>
  <c r="I25" i="3" s="1"/>
  <c r="F25" i="3"/>
  <c r="E25" i="3"/>
  <c r="D25" i="3"/>
  <c r="C25" i="3"/>
  <c r="J25" i="3" s="1"/>
  <c r="H99" i="3"/>
  <c r="G99" i="3"/>
  <c r="F99" i="3"/>
  <c r="E99" i="3"/>
  <c r="D99" i="3"/>
  <c r="C99" i="3"/>
  <c r="J99" i="3" s="1"/>
  <c r="H170" i="3"/>
  <c r="G170" i="3"/>
  <c r="F170" i="3"/>
  <c r="E170" i="3"/>
  <c r="D170" i="3"/>
  <c r="C170" i="3"/>
  <c r="J170" i="3" s="1"/>
  <c r="H46" i="3"/>
  <c r="G46" i="3"/>
  <c r="F46" i="3"/>
  <c r="E46" i="3"/>
  <c r="D46" i="3"/>
  <c r="C46" i="3"/>
  <c r="J46" i="3" s="1"/>
  <c r="H27" i="3"/>
  <c r="G27" i="3"/>
  <c r="I27" i="3" s="1"/>
  <c r="F27" i="3"/>
  <c r="E27" i="3"/>
  <c r="D27" i="3"/>
  <c r="C27" i="3"/>
  <c r="J27" i="3" s="1"/>
  <c r="H23" i="3"/>
  <c r="G23" i="3"/>
  <c r="F23" i="3"/>
  <c r="E23" i="3"/>
  <c r="D23" i="3"/>
  <c r="C23" i="3"/>
  <c r="J23" i="3" s="1"/>
  <c r="H106" i="3"/>
  <c r="G106" i="3"/>
  <c r="F106" i="3"/>
  <c r="E106" i="3"/>
  <c r="D106" i="3"/>
  <c r="C106" i="3"/>
  <c r="J106" i="3" s="1"/>
  <c r="H44" i="3"/>
  <c r="G44" i="3"/>
  <c r="F44" i="3"/>
  <c r="E44" i="3"/>
  <c r="D44" i="3"/>
  <c r="C44" i="3"/>
  <c r="J44" i="3" s="1"/>
  <c r="H56" i="3"/>
  <c r="G56" i="3"/>
  <c r="I56" i="3" s="1"/>
  <c r="F56" i="3"/>
  <c r="E56" i="3"/>
  <c r="D56" i="3"/>
  <c r="C56" i="3"/>
  <c r="J56" i="3" s="1"/>
  <c r="H8" i="3"/>
  <c r="G8" i="3"/>
  <c r="F8" i="3"/>
  <c r="E8" i="3"/>
  <c r="D8" i="3"/>
  <c r="C8" i="3"/>
  <c r="J8" i="3" s="1"/>
  <c r="H159" i="3"/>
  <c r="G159" i="3"/>
  <c r="F159" i="3"/>
  <c r="E159" i="3"/>
  <c r="D159" i="3"/>
  <c r="C159" i="3"/>
  <c r="J159" i="3" s="1"/>
  <c r="H86" i="3"/>
  <c r="G86" i="3"/>
  <c r="F86" i="3"/>
  <c r="E86" i="3"/>
  <c r="D86" i="3"/>
  <c r="C86" i="3"/>
  <c r="J86" i="3" s="1"/>
  <c r="H144" i="3"/>
  <c r="G144" i="3"/>
  <c r="I144" i="3" s="1"/>
  <c r="F144" i="3"/>
  <c r="E144" i="3"/>
  <c r="D144" i="3"/>
  <c r="C144" i="3"/>
  <c r="J144" i="3" s="1"/>
  <c r="H51" i="3"/>
  <c r="G51" i="3"/>
  <c r="F51" i="3"/>
  <c r="E51" i="3"/>
  <c r="D51" i="3"/>
  <c r="C51" i="3"/>
  <c r="J51" i="3" s="1"/>
  <c r="H104" i="3"/>
  <c r="G104" i="3"/>
  <c r="F104" i="3"/>
  <c r="E104" i="3"/>
  <c r="D104" i="3"/>
  <c r="C104" i="3"/>
  <c r="J104" i="3" s="1"/>
  <c r="H151" i="3"/>
  <c r="G151" i="3"/>
  <c r="F151" i="3"/>
  <c r="E151" i="3"/>
  <c r="D151" i="3"/>
  <c r="C151" i="3"/>
  <c r="J151" i="3" s="1"/>
  <c r="H134" i="3"/>
  <c r="G134" i="3"/>
  <c r="I134" i="3" s="1"/>
  <c r="F134" i="3"/>
  <c r="E134" i="3"/>
  <c r="D134" i="3"/>
  <c r="C134" i="3"/>
  <c r="J134" i="3" s="1"/>
  <c r="H78" i="3"/>
  <c r="G78" i="3"/>
  <c r="F78" i="3"/>
  <c r="E78" i="3"/>
  <c r="D78" i="3"/>
  <c r="C78" i="3"/>
  <c r="J78" i="3" s="1"/>
  <c r="H161" i="3"/>
  <c r="G161" i="3"/>
  <c r="F161" i="3"/>
  <c r="E161" i="3"/>
  <c r="D161" i="3"/>
  <c r="C161" i="3"/>
  <c r="J161" i="3" s="1"/>
  <c r="H77" i="3"/>
  <c r="G77" i="3"/>
  <c r="F77" i="3"/>
  <c r="E77" i="3"/>
  <c r="D77" i="3"/>
  <c r="C77" i="3"/>
  <c r="J77" i="3" s="1"/>
  <c r="H68" i="3"/>
  <c r="G68" i="3"/>
  <c r="I68" i="3" s="1"/>
  <c r="F68" i="3"/>
  <c r="E68" i="3"/>
  <c r="D68" i="3"/>
  <c r="C68" i="3"/>
  <c r="J68" i="3" s="1"/>
  <c r="H140" i="3"/>
  <c r="G140" i="3"/>
  <c r="F140" i="3"/>
  <c r="E140" i="3"/>
  <c r="D140" i="3"/>
  <c r="C140" i="3"/>
  <c r="J140" i="3" s="1"/>
  <c r="H91" i="3"/>
  <c r="G91" i="3"/>
  <c r="F91" i="3"/>
  <c r="E91" i="3"/>
  <c r="D91" i="3"/>
  <c r="C91" i="3"/>
  <c r="J91" i="3" s="1"/>
  <c r="H60" i="3"/>
  <c r="G60" i="3"/>
  <c r="F60" i="3"/>
  <c r="E60" i="3"/>
  <c r="D60" i="3"/>
  <c r="C60" i="3"/>
  <c r="J60" i="3" s="1"/>
  <c r="H162" i="3"/>
  <c r="G162" i="3"/>
  <c r="I162" i="3" s="1"/>
  <c r="F162" i="3"/>
  <c r="E162" i="3"/>
  <c r="D162" i="3"/>
  <c r="C162" i="3"/>
  <c r="J162" i="3" s="1"/>
  <c r="H50" i="3"/>
  <c r="G50" i="3"/>
  <c r="F50" i="3"/>
  <c r="E50" i="3"/>
  <c r="D50" i="3"/>
  <c r="C50" i="3"/>
  <c r="J50" i="3" s="1"/>
  <c r="H111" i="3"/>
  <c r="G111" i="3"/>
  <c r="F111" i="3"/>
  <c r="E111" i="3"/>
  <c r="D111" i="3"/>
  <c r="C111" i="3"/>
  <c r="J111" i="3" s="1"/>
  <c r="H172" i="3"/>
  <c r="G172" i="3"/>
  <c r="F172" i="3"/>
  <c r="E172" i="3"/>
  <c r="D172" i="3"/>
  <c r="C172" i="3"/>
  <c r="J172" i="3" s="1"/>
  <c r="H119" i="3"/>
  <c r="G119" i="3"/>
  <c r="I119" i="3" s="1"/>
  <c r="F119" i="3"/>
  <c r="E119" i="3"/>
  <c r="D119" i="3"/>
  <c r="C119" i="3"/>
  <c r="J119" i="3" s="1"/>
  <c r="H61" i="3"/>
  <c r="G61" i="3"/>
  <c r="F61" i="3"/>
  <c r="E61" i="3"/>
  <c r="D61" i="3"/>
  <c r="C61" i="3"/>
  <c r="J61" i="3" s="1"/>
  <c r="H3" i="3"/>
  <c r="G3" i="3"/>
  <c r="F3" i="3"/>
  <c r="E3" i="3"/>
  <c r="D3" i="3"/>
  <c r="C3" i="3"/>
  <c r="J3" i="3" s="1"/>
  <c r="H124" i="3"/>
  <c r="G124" i="3"/>
  <c r="F124" i="3"/>
  <c r="E124" i="3"/>
  <c r="D124" i="3"/>
  <c r="C124" i="3"/>
  <c r="J124" i="3" s="1"/>
  <c r="H55" i="3"/>
  <c r="G55" i="3"/>
  <c r="I55" i="3" s="1"/>
  <c r="F55" i="3"/>
  <c r="E55" i="3"/>
  <c r="D55" i="3"/>
  <c r="C55" i="3"/>
  <c r="J55" i="3" s="1"/>
  <c r="H24" i="3"/>
  <c r="G24" i="3"/>
  <c r="F24" i="3"/>
  <c r="E24" i="3"/>
  <c r="D24" i="3"/>
  <c r="C24" i="3"/>
  <c r="J24" i="3" s="1"/>
  <c r="H127" i="3"/>
  <c r="G127" i="3"/>
  <c r="F127" i="3"/>
  <c r="E127" i="3"/>
  <c r="D127" i="3"/>
  <c r="C127" i="3"/>
  <c r="J127" i="3" s="1"/>
  <c r="H35" i="3"/>
  <c r="G35" i="3"/>
  <c r="F35" i="3"/>
  <c r="E35" i="3"/>
  <c r="D35" i="3"/>
  <c r="C35" i="3"/>
  <c r="J35" i="3" s="1"/>
  <c r="H84" i="3"/>
  <c r="G84" i="3"/>
  <c r="I84" i="3" s="1"/>
  <c r="F84" i="3"/>
  <c r="E84" i="3"/>
  <c r="D84" i="3"/>
  <c r="C84" i="3"/>
  <c r="J84" i="3" s="1"/>
  <c r="H2" i="3"/>
  <c r="G2" i="3"/>
  <c r="F2" i="3"/>
  <c r="E2" i="3"/>
  <c r="D2" i="3"/>
  <c r="C2" i="3"/>
  <c r="J2" i="3" s="1"/>
  <c r="H43" i="3"/>
  <c r="G43" i="3"/>
  <c r="F43" i="3"/>
  <c r="E43" i="3"/>
  <c r="D43" i="3"/>
  <c r="C43" i="3"/>
  <c r="J43" i="3" s="1"/>
  <c r="H153" i="3"/>
  <c r="G153" i="3"/>
  <c r="F153" i="3"/>
  <c r="E153" i="3"/>
  <c r="D153" i="3"/>
  <c r="C153" i="3"/>
  <c r="J153" i="3" s="1"/>
  <c r="H101" i="3"/>
  <c r="G101" i="3"/>
  <c r="I101" i="3" s="1"/>
  <c r="F101" i="3"/>
  <c r="E101" i="3"/>
  <c r="D101" i="3"/>
  <c r="C101" i="3"/>
  <c r="J101" i="3" s="1"/>
  <c r="H71" i="3"/>
  <c r="G71" i="3"/>
  <c r="F71" i="3"/>
  <c r="E71" i="3"/>
  <c r="D71" i="3"/>
  <c r="C71" i="3"/>
  <c r="J71" i="3" s="1"/>
  <c r="H22" i="3"/>
  <c r="G22" i="3"/>
  <c r="F22" i="3"/>
  <c r="E22" i="3"/>
  <c r="D22" i="3"/>
  <c r="C22" i="3"/>
  <c r="J22" i="3" s="1"/>
  <c r="H141" i="3"/>
  <c r="G141" i="3"/>
  <c r="F141" i="3"/>
  <c r="E141" i="3"/>
  <c r="D141" i="3"/>
  <c r="C141" i="3"/>
  <c r="J141" i="3" s="1"/>
  <c r="H149" i="3"/>
  <c r="G149" i="3"/>
  <c r="I149" i="3" s="1"/>
  <c r="F149" i="3"/>
  <c r="E149" i="3"/>
  <c r="D149" i="3"/>
  <c r="C149" i="3"/>
  <c r="J149" i="3" s="1"/>
  <c r="H79" i="3"/>
  <c r="G79" i="3"/>
  <c r="F79" i="3"/>
  <c r="E79" i="3"/>
  <c r="D79" i="3"/>
  <c r="C79" i="3"/>
  <c r="J79" i="3" s="1"/>
  <c r="H135" i="3"/>
  <c r="G135" i="3"/>
  <c r="F135" i="3"/>
  <c r="E135" i="3"/>
  <c r="D135" i="3"/>
  <c r="C135" i="3"/>
  <c r="J135" i="3" s="1"/>
  <c r="H92" i="3"/>
  <c r="G92" i="3"/>
  <c r="F92" i="3"/>
  <c r="E92" i="3"/>
  <c r="D92" i="3"/>
  <c r="C92" i="3"/>
  <c r="J92" i="3" s="1"/>
  <c r="H69" i="3"/>
  <c r="G69" i="3"/>
  <c r="I69" i="3" s="1"/>
  <c r="F69" i="3"/>
  <c r="E69" i="3"/>
  <c r="D69" i="3"/>
  <c r="C69" i="3"/>
  <c r="J69" i="3" s="1"/>
  <c r="H94" i="3"/>
  <c r="G94" i="3"/>
  <c r="F94" i="3"/>
  <c r="E94" i="3"/>
  <c r="D94" i="3"/>
  <c r="C94" i="3"/>
  <c r="J94" i="3" s="1"/>
  <c r="H126" i="3"/>
  <c r="G126" i="3"/>
  <c r="F126" i="3"/>
  <c r="E126" i="3"/>
  <c r="D126" i="3"/>
  <c r="C126" i="3"/>
  <c r="J126" i="3" s="1"/>
  <c r="H173" i="3"/>
  <c r="G173" i="3"/>
  <c r="F173" i="3"/>
  <c r="E173" i="3"/>
  <c r="D173" i="3"/>
  <c r="C173" i="3"/>
  <c r="J173" i="3" s="1"/>
  <c r="H176" i="3"/>
  <c r="G176" i="3"/>
  <c r="I176" i="3" s="1"/>
  <c r="F176" i="3"/>
  <c r="E176" i="3"/>
  <c r="D176" i="3"/>
  <c r="C176" i="3"/>
  <c r="J176" i="3" s="1"/>
  <c r="H167" i="3"/>
  <c r="G167" i="3"/>
  <c r="F167" i="3"/>
  <c r="E167" i="3"/>
  <c r="D167" i="3"/>
  <c r="C167" i="3"/>
  <c r="J167" i="3" s="1"/>
  <c r="H154" i="3"/>
  <c r="G154" i="3"/>
  <c r="F154" i="3"/>
  <c r="E154" i="3"/>
  <c r="D154" i="3"/>
  <c r="C154" i="3"/>
  <c r="J154" i="3" s="1"/>
  <c r="H80" i="3"/>
  <c r="G80" i="3"/>
  <c r="F80" i="3"/>
  <c r="E80" i="3"/>
  <c r="D80" i="3"/>
  <c r="C80" i="3"/>
  <c r="J80" i="3" s="1"/>
  <c r="H48" i="3"/>
  <c r="G48" i="3"/>
  <c r="I48" i="3" s="1"/>
  <c r="F48" i="3"/>
  <c r="E48" i="3"/>
  <c r="D48" i="3"/>
  <c r="C48" i="3"/>
  <c r="J48" i="3" s="1"/>
  <c r="H168" i="3"/>
  <c r="G168" i="3"/>
  <c r="F168" i="3"/>
  <c r="E168" i="3"/>
  <c r="D168" i="3"/>
  <c r="C168" i="3"/>
  <c r="J168" i="3" s="1"/>
  <c r="H29" i="3"/>
  <c r="G29" i="3"/>
  <c r="I29" i="3" s="1"/>
  <c r="F29" i="3"/>
  <c r="E29" i="3"/>
  <c r="D29" i="3"/>
  <c r="C29" i="3"/>
  <c r="J29" i="3" s="1"/>
  <c r="H164" i="3"/>
  <c r="G164" i="3"/>
  <c r="F164" i="3"/>
  <c r="E164" i="3"/>
  <c r="D164" i="3"/>
  <c r="C164" i="3"/>
  <c r="J164" i="3" s="1"/>
  <c r="H146" i="3"/>
  <c r="G146" i="3"/>
  <c r="I146" i="3" s="1"/>
  <c r="F146" i="3"/>
  <c r="E146" i="3"/>
  <c r="D146" i="3"/>
  <c r="C146" i="3"/>
  <c r="J146" i="3" s="1"/>
  <c r="H130" i="3"/>
  <c r="G130" i="3"/>
  <c r="F130" i="3"/>
  <c r="E130" i="3"/>
  <c r="D130" i="3"/>
  <c r="C130" i="3"/>
  <c r="J130" i="3" s="1"/>
  <c r="H121" i="3"/>
  <c r="G121" i="3"/>
  <c r="I121" i="3" s="1"/>
  <c r="F121" i="3"/>
  <c r="E121" i="3"/>
  <c r="D121" i="3"/>
  <c r="C121" i="3"/>
  <c r="J121" i="3" s="1"/>
  <c r="H178" i="3"/>
  <c r="G178" i="3"/>
  <c r="F178" i="3"/>
  <c r="E178" i="3"/>
  <c r="D178" i="3"/>
  <c r="C178" i="3"/>
  <c r="J178" i="3" s="1"/>
  <c r="H9" i="3"/>
  <c r="G9" i="3"/>
  <c r="I9" i="3" s="1"/>
  <c r="F9" i="3"/>
  <c r="E9" i="3"/>
  <c r="D9" i="3"/>
  <c r="C9" i="3"/>
  <c r="J9" i="3" s="1"/>
  <c r="H109" i="3"/>
  <c r="G109" i="3"/>
  <c r="F109" i="3"/>
  <c r="E109" i="3"/>
  <c r="D109" i="3"/>
  <c r="C109" i="3"/>
  <c r="J109" i="3" s="1"/>
  <c r="H136" i="3"/>
  <c r="G136" i="3"/>
  <c r="I136" i="3" s="1"/>
  <c r="F136" i="3"/>
  <c r="E136" i="3"/>
  <c r="D136" i="3"/>
  <c r="C136" i="3"/>
  <c r="J136" i="3" s="1"/>
  <c r="H37" i="3"/>
  <c r="G37" i="3"/>
  <c r="F37" i="3"/>
  <c r="E37" i="3"/>
  <c r="D37" i="3"/>
  <c r="C37" i="3"/>
  <c r="J37" i="3" s="1"/>
  <c r="H148" i="3"/>
  <c r="G148" i="3"/>
  <c r="I148" i="3" s="1"/>
  <c r="F148" i="3"/>
  <c r="E148" i="3"/>
  <c r="D148" i="3"/>
  <c r="C148" i="3"/>
  <c r="J148" i="3" s="1"/>
  <c r="H42" i="3"/>
  <c r="G42" i="3"/>
  <c r="F42" i="3"/>
  <c r="E42" i="3"/>
  <c r="D42" i="3"/>
  <c r="C42" i="3"/>
  <c r="J42" i="3" s="1"/>
  <c r="H97" i="3"/>
  <c r="G97" i="3"/>
  <c r="I97" i="3" s="1"/>
  <c r="F97" i="3"/>
  <c r="E97" i="3"/>
  <c r="D97" i="3"/>
  <c r="C97" i="3"/>
  <c r="J97" i="3" s="1"/>
  <c r="H103" i="3"/>
  <c r="G103" i="3"/>
  <c r="F103" i="3"/>
  <c r="E103" i="3"/>
  <c r="D103" i="3"/>
  <c r="C103" i="3"/>
  <c r="J103" i="3" s="1"/>
  <c r="H82" i="3"/>
  <c r="G82" i="3"/>
  <c r="I82" i="3" s="1"/>
  <c r="F82" i="3"/>
  <c r="E82" i="3"/>
  <c r="D82" i="3"/>
  <c r="C82" i="3"/>
  <c r="J82" i="3" s="1"/>
  <c r="H133" i="3"/>
  <c r="G133" i="3"/>
  <c r="F133" i="3"/>
  <c r="E133" i="3"/>
  <c r="D133" i="3"/>
  <c r="C133" i="3"/>
  <c r="J133" i="3" s="1"/>
  <c r="H115" i="3"/>
  <c r="G115" i="3"/>
  <c r="I115" i="3" s="1"/>
  <c r="F115" i="3"/>
  <c r="E115" i="3"/>
  <c r="D115" i="3"/>
  <c r="C115" i="3"/>
  <c r="J115" i="3" s="1"/>
  <c r="H123" i="3"/>
  <c r="G123" i="3"/>
  <c r="F123" i="3"/>
  <c r="E123" i="3"/>
  <c r="D123" i="3"/>
  <c r="C123" i="3"/>
  <c r="J123" i="3" s="1"/>
  <c r="H59" i="3"/>
  <c r="G59" i="3"/>
  <c r="I59" i="3" s="1"/>
  <c r="F59" i="3"/>
  <c r="E59" i="3"/>
  <c r="D59" i="3"/>
  <c r="C59" i="3"/>
  <c r="J59" i="3" s="1"/>
  <c r="H150" i="3"/>
  <c r="G150" i="3"/>
  <c r="F150" i="3"/>
  <c r="E150" i="3"/>
  <c r="D150" i="3"/>
  <c r="C150" i="3"/>
  <c r="J150" i="3" s="1"/>
  <c r="H118" i="3"/>
  <c r="G118" i="3"/>
  <c r="I118" i="3" s="1"/>
  <c r="F118" i="3"/>
  <c r="E118" i="3"/>
  <c r="D118" i="3"/>
  <c r="C118" i="3"/>
  <c r="J118" i="3" s="1"/>
  <c r="H110" i="3"/>
  <c r="G110" i="3"/>
  <c r="F110" i="3"/>
  <c r="E110" i="3"/>
  <c r="D110" i="3"/>
  <c r="C110" i="3"/>
  <c r="J110" i="3" s="1"/>
  <c r="H38" i="3"/>
  <c r="G38" i="3"/>
  <c r="I38" i="3" s="1"/>
  <c r="F38" i="3"/>
  <c r="E38" i="3"/>
  <c r="D38" i="3"/>
  <c r="C38" i="3"/>
  <c r="J38" i="3" s="1"/>
  <c r="H96" i="3"/>
  <c r="G96" i="3"/>
  <c r="F96" i="3"/>
  <c r="E96" i="3"/>
  <c r="D96" i="3"/>
  <c r="C96" i="3"/>
  <c r="J96" i="3" s="1"/>
  <c r="H90" i="3"/>
  <c r="G90" i="3"/>
  <c r="I90" i="3" s="1"/>
  <c r="F90" i="3"/>
  <c r="E90" i="3"/>
  <c r="D90" i="3"/>
  <c r="C90" i="3"/>
  <c r="J90" i="3" s="1"/>
  <c r="H57" i="3"/>
  <c r="G57" i="3"/>
  <c r="F57" i="3"/>
  <c r="E57" i="3"/>
  <c r="D57" i="3"/>
  <c r="C57" i="3"/>
  <c r="J57" i="3" s="1"/>
  <c r="H85" i="3"/>
  <c r="G85" i="3"/>
  <c r="I85" i="3" s="1"/>
  <c r="F85" i="3"/>
  <c r="E85" i="3"/>
  <c r="D85" i="3"/>
  <c r="C85" i="3"/>
  <c r="J85" i="3" s="1"/>
  <c r="H114" i="3"/>
  <c r="G114" i="3"/>
  <c r="F114" i="3"/>
  <c r="E114" i="3"/>
  <c r="D114" i="3"/>
  <c r="C114" i="3"/>
  <c r="J114" i="3" s="1"/>
  <c r="H100" i="3"/>
  <c r="G100" i="3"/>
  <c r="I100" i="3" s="1"/>
  <c r="F100" i="3"/>
  <c r="E100" i="3"/>
  <c r="D100" i="3"/>
  <c r="C100" i="3"/>
  <c r="J100" i="3" s="1"/>
  <c r="H34" i="3"/>
  <c r="G34" i="3"/>
  <c r="F34" i="3"/>
  <c r="E34" i="3"/>
  <c r="D34" i="3"/>
  <c r="C34" i="3"/>
  <c r="J34" i="3" s="1"/>
  <c r="F6" i="8" l="1"/>
  <c r="I34" i="3"/>
  <c r="I154" i="3"/>
  <c r="I126" i="3"/>
  <c r="I135" i="3"/>
  <c r="I22" i="3"/>
  <c r="I43" i="3"/>
  <c r="I127" i="3"/>
  <c r="I3" i="3"/>
  <c r="I111" i="3"/>
  <c r="I91" i="3"/>
  <c r="I161" i="3"/>
  <c r="I104" i="3"/>
  <c r="I159" i="3"/>
  <c r="I106" i="3"/>
  <c r="I170" i="3"/>
  <c r="I122" i="3"/>
  <c r="I93" i="3"/>
  <c r="I28" i="3"/>
  <c r="I152" i="3"/>
  <c r="I142" i="3"/>
  <c r="I174" i="3"/>
  <c r="I108" i="3"/>
  <c r="I10" i="3"/>
  <c r="I156" i="3"/>
  <c r="I128" i="3"/>
  <c r="I105" i="3"/>
  <c r="I171" i="3"/>
  <c r="I177" i="3"/>
  <c r="I125" i="3"/>
  <c r="I180" i="3"/>
  <c r="I120" i="3"/>
  <c r="I160" i="3"/>
  <c r="I6" i="3"/>
  <c r="I64" i="3"/>
  <c r="I72" i="3"/>
  <c r="I166" i="3"/>
  <c r="I129" i="3"/>
  <c r="I113" i="3"/>
  <c r="I57" i="3"/>
  <c r="I110" i="3"/>
  <c r="I123" i="3"/>
  <c r="I103" i="3"/>
  <c r="I37" i="3"/>
  <c r="I178" i="3"/>
  <c r="I164" i="3"/>
  <c r="I80" i="3"/>
  <c r="I173" i="3"/>
  <c r="I92" i="3"/>
  <c r="I141" i="3"/>
  <c r="I153" i="3"/>
  <c r="I35" i="3"/>
  <c r="I124" i="3"/>
  <c r="I172" i="3"/>
  <c r="I60" i="3"/>
  <c r="I77" i="3"/>
  <c r="I151" i="3"/>
  <c r="I86" i="3"/>
  <c r="I44" i="3"/>
  <c r="I46" i="3"/>
  <c r="I4" i="3"/>
  <c r="I116" i="3"/>
  <c r="I15" i="3"/>
  <c r="I14" i="3"/>
  <c r="I49" i="3"/>
  <c r="I20" i="3"/>
  <c r="I155" i="3"/>
  <c r="I73" i="3"/>
  <c r="I41" i="3"/>
  <c r="I31" i="3"/>
  <c r="I13" i="3"/>
  <c r="I26" i="3"/>
  <c r="I17" i="3"/>
  <c r="I157" i="3"/>
  <c r="I12" i="3"/>
  <c r="I143" i="3"/>
  <c r="I107" i="3"/>
  <c r="I65" i="3"/>
  <c r="I98" i="3"/>
  <c r="I76" i="3"/>
  <c r="I18" i="3"/>
  <c r="I181" i="3"/>
  <c r="I52" i="3"/>
  <c r="I81" i="3"/>
  <c r="I163" i="3"/>
  <c r="I21" i="3"/>
  <c r="I165" i="3"/>
  <c r="I16" i="3"/>
  <c r="I45" i="3"/>
  <c r="I70" i="3"/>
  <c r="I75" i="3"/>
  <c r="I7" i="3"/>
  <c r="I63" i="3"/>
  <c r="I5" i="3"/>
  <c r="I117" i="3"/>
  <c r="I74" i="3"/>
  <c r="I147" i="3"/>
  <c r="I138" i="3"/>
  <c r="I114" i="3"/>
  <c r="I96" i="3"/>
  <c r="I150" i="3"/>
  <c r="I133" i="3"/>
  <c r="I42" i="3"/>
  <c r="I109" i="3"/>
  <c r="I130" i="3"/>
  <c r="I168" i="3"/>
  <c r="I167" i="3"/>
  <c r="I94" i="3"/>
  <c r="I79" i="3"/>
  <c r="I71" i="3"/>
  <c r="I2" i="3"/>
  <c r="I24" i="3"/>
  <c r="I61" i="3"/>
  <c r="I50" i="3"/>
  <c r="I140" i="3"/>
  <c r="I78" i="3"/>
  <c r="I51" i="3"/>
  <c r="I8" i="3"/>
  <c r="I23" i="3"/>
  <c r="I99" i="3"/>
  <c r="I11" i="3"/>
  <c r="I169" i="3"/>
  <c r="I39" i="3"/>
  <c r="I40" i="3"/>
  <c r="I158" i="3"/>
  <c r="I131" i="3"/>
  <c r="I112" i="3"/>
  <c r="I179" i="3"/>
  <c r="I36" i="3"/>
  <c r="I58" i="3"/>
  <c r="I54" i="3"/>
  <c r="I139" i="3"/>
  <c r="I95" i="3"/>
  <c r="I88" i="3"/>
  <c r="I62" i="3"/>
  <c r="I87" i="3"/>
  <c r="I102" i="3"/>
  <c r="I19" i="3"/>
  <c r="I89" i="3"/>
  <c r="I67" i="3"/>
  <c r="I30" i="3"/>
  <c r="I175" i="3"/>
  <c r="I14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7C828-D98C-4641-A1B6-9832EB0399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51F3405-050E-46B4-9FB1-E454B80AE4D6}" name="WorksheetConnection_Practice_SalesData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Practice_SalesData.xlsxTable2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Table2].[Sales Person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<sst xmlns="http://schemas.openxmlformats.org/spreadsheetml/2006/main" count="1008" uniqueCount="199">
  <si>
    <t>OrderID</t>
  </si>
  <si>
    <t>OrderDate</t>
  </si>
  <si>
    <t>Region</t>
  </si>
  <si>
    <t>Salesperson</t>
  </si>
  <si>
    <t>Product</t>
  </si>
  <si>
    <t>Category</t>
  </si>
  <si>
    <t>Units</t>
  </si>
  <si>
    <t>UnitPrice</t>
  </si>
  <si>
    <t>2025-01-24</t>
  </si>
  <si>
    <t>North</t>
  </si>
  <si>
    <t>RAVI KUMAR</t>
  </si>
  <si>
    <t>Office Chair</t>
  </si>
  <si>
    <t>Furniture</t>
  </si>
  <si>
    <t>2025-03-29</t>
  </si>
  <si>
    <t>Ananya Rao</t>
  </si>
  <si>
    <t>Bookshelf</t>
  </si>
  <si>
    <t>2025-03-18</t>
  </si>
  <si>
    <t>West</t>
  </si>
  <si>
    <t>Rohan Shah</t>
  </si>
  <si>
    <t>Notebook Set</t>
  </si>
  <si>
    <t>Stationery</t>
  </si>
  <si>
    <t>2025-06-08</t>
  </si>
  <si>
    <t>South</t>
  </si>
  <si>
    <t>Divya Sharma</t>
  </si>
  <si>
    <t>2025-06-04</t>
  </si>
  <si>
    <t>East</t>
  </si>
  <si>
    <t>Sneha Das</t>
  </si>
  <si>
    <t>2025-06-21</t>
  </si>
  <si>
    <t xml:space="preserve">  West  </t>
  </si>
  <si>
    <t>Priya Mehta</t>
  </si>
  <si>
    <t>furniture</t>
  </si>
  <si>
    <t>2025-01-31</t>
  </si>
  <si>
    <t>Karthik Iyer</t>
  </si>
  <si>
    <t>Wireless Mouse</t>
  </si>
  <si>
    <t>Electronics</t>
  </si>
  <si>
    <t>2025-05-28</t>
  </si>
  <si>
    <t>Ravi Kumar</t>
  </si>
  <si>
    <t>2025-04-09</t>
  </si>
  <si>
    <t>DIVYA SHARMA</t>
  </si>
  <si>
    <t>2025-05-04</t>
  </si>
  <si>
    <t>Amit Ghosh</t>
  </si>
  <si>
    <t xml:space="preserve">  East  </t>
  </si>
  <si>
    <t>Gel Pen Pack</t>
  </si>
  <si>
    <t>2025-05-17</t>
  </si>
  <si>
    <t>2025-06-16</t>
  </si>
  <si>
    <t>2025-03-17</t>
  </si>
  <si>
    <t>2025-06-26</t>
  </si>
  <si>
    <t xml:space="preserve"> A4 Paper Ream </t>
  </si>
  <si>
    <t>2025-03-15</t>
  </si>
  <si>
    <t xml:space="preserve"> Office Chair </t>
  </si>
  <si>
    <t>2025-01-30</t>
  </si>
  <si>
    <t>AMIT GHOSH</t>
  </si>
  <si>
    <t>2025-03-22</t>
  </si>
  <si>
    <t>27in Monitor</t>
  </si>
  <si>
    <t>2025-04-27</t>
  </si>
  <si>
    <t>A4 Paper Ream</t>
  </si>
  <si>
    <t>2025-01-04</t>
  </si>
  <si>
    <t>Laptop Pro 14</t>
  </si>
  <si>
    <t>2025-01-21</t>
  </si>
  <si>
    <t>Bluetooth Speaker</t>
  </si>
  <si>
    <t>2025-04-26</t>
  </si>
  <si>
    <t>2025-03-13</t>
  </si>
  <si>
    <t>2025-06-19</t>
  </si>
  <si>
    <t>KARTHIK IYER</t>
  </si>
  <si>
    <t>2025-01-28</t>
  </si>
  <si>
    <t>2025-03-19</t>
  </si>
  <si>
    <t>stationery</t>
  </si>
  <si>
    <t>2025-05-21</t>
  </si>
  <si>
    <t>2025-02-21</t>
  </si>
  <si>
    <t>Standing Desk</t>
  </si>
  <si>
    <t>2025-02-08</t>
  </si>
  <si>
    <t xml:space="preserve">  North  </t>
  </si>
  <si>
    <t>2025-06-10</t>
  </si>
  <si>
    <t>2025-05-10</t>
  </si>
  <si>
    <t>2025-05-20</t>
  </si>
  <si>
    <t>2025-03-09</t>
  </si>
  <si>
    <t xml:space="preserve">  South  </t>
  </si>
  <si>
    <t>2025-04-20</t>
  </si>
  <si>
    <t>2025-01-19</t>
  </si>
  <si>
    <t>ROHAN SHAH</t>
  </si>
  <si>
    <t>2025-04-08</t>
  </si>
  <si>
    <t>2025-02-13</t>
  </si>
  <si>
    <t>2025-01-20</t>
  </si>
  <si>
    <t>2025-06-01</t>
  </si>
  <si>
    <t xml:space="preserve"> Standing Desk </t>
  </si>
  <si>
    <t>2025-06-02</t>
  </si>
  <si>
    <t xml:space="preserve"> Gel Pen Pack </t>
  </si>
  <si>
    <t>2025-02-18</t>
  </si>
  <si>
    <t>2025-03-07</t>
  </si>
  <si>
    <t>2025-03-05</t>
  </si>
  <si>
    <t>2025-04-24</t>
  </si>
  <si>
    <t>2025-02-26</t>
  </si>
  <si>
    <t>2025-02-27</t>
  </si>
  <si>
    <t>2025-04-03</t>
  </si>
  <si>
    <t>2025-05-30</t>
  </si>
  <si>
    <t>2025-05-18</t>
  </si>
  <si>
    <t>2025-01-22</t>
  </si>
  <si>
    <t>2025-06-24</t>
  </si>
  <si>
    <t>2025-04-13</t>
  </si>
  <si>
    <t>2025-04-15</t>
  </si>
  <si>
    <t>2025-03-01</t>
  </si>
  <si>
    <t>2025-06-05</t>
  </si>
  <si>
    <t>2025-02-01</t>
  </si>
  <si>
    <t>2025-02-23</t>
  </si>
  <si>
    <t>2025-02-24</t>
  </si>
  <si>
    <t>2025-02-15</t>
  </si>
  <si>
    <t>2025-04-16</t>
  </si>
  <si>
    <t>2025-06-22</t>
  </si>
  <si>
    <t>2025-01-26</t>
  </si>
  <si>
    <t xml:space="preserve"> Notebook Set </t>
  </si>
  <si>
    <t>2025-03-25</t>
  </si>
  <si>
    <t>2025-03-11</t>
  </si>
  <si>
    <t>2025-03-04</t>
  </si>
  <si>
    <t>2025-05-11</t>
  </si>
  <si>
    <t>2025-06-28</t>
  </si>
  <si>
    <t>2025-05-02</t>
  </si>
  <si>
    <t>2025-05-22</t>
  </si>
  <si>
    <t xml:space="preserve"> Bookshelf </t>
  </si>
  <si>
    <t>2025-05-29</t>
  </si>
  <si>
    <t>2025-04-22</t>
  </si>
  <si>
    <t>PRIYA MEHTA</t>
  </si>
  <si>
    <t>2025-05-06</t>
  </si>
  <si>
    <t>electronics</t>
  </si>
  <si>
    <t>2025-06-20</t>
  </si>
  <si>
    <t>2025-05-13</t>
  </si>
  <si>
    <t>2025-01-25</t>
  </si>
  <si>
    <t>2025-04-14</t>
  </si>
  <si>
    <t>SNEHA DAS</t>
  </si>
  <si>
    <t>2025-03-30</t>
  </si>
  <si>
    <t>2025-06-14</t>
  </si>
  <si>
    <t>2025-04-21</t>
  </si>
  <si>
    <t>2025-03-08</t>
  </si>
  <si>
    <t>2025-01-16</t>
  </si>
  <si>
    <t>2025-03-12</t>
  </si>
  <si>
    <t>2025-06-11</t>
  </si>
  <si>
    <t>2025-05-26</t>
  </si>
  <si>
    <t>2025-01-07</t>
  </si>
  <si>
    <t xml:space="preserve"> 27in Monitor </t>
  </si>
  <si>
    <t>2025-05-19</t>
  </si>
  <si>
    <t>2025-03-23</t>
  </si>
  <si>
    <t>2025-02-07</t>
  </si>
  <si>
    <t>2025-03-26</t>
  </si>
  <si>
    <t>2025-02-03</t>
  </si>
  <si>
    <t>2025-01-09</t>
  </si>
  <si>
    <t>2025-01-06</t>
  </si>
  <si>
    <t>2025-04-29</t>
  </si>
  <si>
    <t>2025-05-01</t>
  </si>
  <si>
    <t>2025-04-19</t>
  </si>
  <si>
    <t>2025-02-20</t>
  </si>
  <si>
    <t>2025-04-04</t>
  </si>
  <si>
    <t>2025-01-29</t>
  </si>
  <si>
    <t>2025-02-10</t>
  </si>
  <si>
    <t>2025-05-16</t>
  </si>
  <si>
    <t>2025-02-25</t>
  </si>
  <si>
    <t>2025-05-05</t>
  </si>
  <si>
    <t>2025-01-03</t>
  </si>
  <si>
    <t>2025-03-03</t>
  </si>
  <si>
    <t>2025-02-22</t>
  </si>
  <si>
    <t>2025-02-12</t>
  </si>
  <si>
    <t xml:space="preserve"> Wireless Mouse </t>
  </si>
  <si>
    <t>2025-01-11</t>
  </si>
  <si>
    <t>2025-04-17</t>
  </si>
  <si>
    <t>2025-06-09</t>
  </si>
  <si>
    <t>2025-06-06</t>
  </si>
  <si>
    <t>2025-06-13</t>
  </si>
  <si>
    <t>Region Clean</t>
  </si>
  <si>
    <t>Sales Person</t>
  </si>
  <si>
    <t>Row Labels</t>
  </si>
  <si>
    <t>Grand Total</t>
  </si>
  <si>
    <t>Unit Price</t>
  </si>
  <si>
    <t>Sales</t>
  </si>
  <si>
    <t>Sum of Sales</t>
  </si>
  <si>
    <t>All</t>
  </si>
  <si>
    <t>Sales Persons</t>
  </si>
  <si>
    <t>Jan</t>
  </si>
  <si>
    <t>Feb</t>
  </si>
  <si>
    <t>Mar</t>
  </si>
  <si>
    <t>Apr</t>
  </si>
  <si>
    <t>May</t>
  </si>
  <si>
    <t>Jun</t>
  </si>
  <si>
    <t>Months</t>
  </si>
  <si>
    <t>Manager</t>
  </si>
  <si>
    <t>Meera Nair</t>
  </si>
  <si>
    <t>Arjun Reddy</t>
  </si>
  <si>
    <t>Kavita Bose</t>
  </si>
  <si>
    <t>Nikhil Verma</t>
  </si>
  <si>
    <t>Search Manager</t>
  </si>
  <si>
    <t xml:space="preserve">Order ID </t>
  </si>
  <si>
    <t xml:space="preserve">Region </t>
  </si>
  <si>
    <t xml:space="preserve">Product </t>
  </si>
  <si>
    <t xml:space="preserve">Units </t>
  </si>
  <si>
    <t>Sales Dashboard</t>
  </si>
  <si>
    <t>Jan–Jun 2025 | Source: Cleaned_Data</t>
  </si>
  <si>
    <t xml:space="preserve">Total Sales </t>
  </si>
  <si>
    <t xml:space="preserve"> </t>
  </si>
  <si>
    <t xml:space="preserve">Total Orders </t>
  </si>
  <si>
    <t>Average Orders</t>
  </si>
  <si>
    <t>Top Region</t>
  </si>
  <si>
    <t>Top 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</si>
</sst>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[$-F800]dddd\,\ mmmm\ dd\,\ yyyy"/>
    <numFmt numFmtId="173" formatCode="#,##0;[Red]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0" fontId="1" fillId="2" borderId="2" xfId="0" applyFont="1" applyFill="1" applyBorder="1" applyAlignment="1">
      <alignment horizontal="center"/>
    </xf>
    <xf numFmtId="3" fontId="0" fillId="0" borderId="0" xfId="0" applyNumberFormat="1"/>
    <xf numFmtId="0" fontId="1" fillId="2" borderId="3" xfId="0" applyFont="1" applyFill="1" applyBorder="1" applyAlignment="1">
      <alignment horizontal="center"/>
    </xf>
    <xf numFmtId="0" fontId="2" fillId="0" borderId="3" xfId="0" applyFont="1" applyBorder="1"/>
    <xf numFmtId="0" fontId="1" fillId="5" borderId="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2" fillId="0" borderId="1" xfId="0" applyNumberFormat="1" applyFont="1" applyBorder="1"/>
    <xf numFmtId="166" fontId="0" fillId="0" borderId="0" xfId="0" applyNumberFormat="1"/>
    <xf numFmtId="166" fontId="5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5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6" fillId="7" borderId="7" xfId="0" applyFont="1" applyFill="1" applyBorder="1"/>
    <xf numFmtId="173" fontId="9" fillId="0" borderId="7" xfId="0" applyNumberFormat="1" applyFont="1" applyBorder="1" applyAlignment="1">
      <alignment horizontal="left"/>
    </xf>
    <xf numFmtId="173" fontId="9" fillId="0" borderId="7" xfId="0" applyNumberFormat="1" applyFont="1" applyBorder="1" applyAlignment="1">
      <alignment horizontal="center"/>
    </xf>
    <xf numFmtId="0" fontId="0" fillId="3" borderId="8" xfId="0" applyFont="1" applyFill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20"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-F800]dddd\,\ mmmm\ dd\,\ yyyy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Sales by Region and Category</a:t>
            </a:r>
          </a:p>
        </c:rich>
      </c:tx>
      <c:layout>
        <c:manualLayout>
          <c:xMode val="edge"/>
          <c:yMode val="edge"/>
          <c:x val="0.19051266520678997"/>
          <c:y val="3.8095238095238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Tables'!$B$5:$B$9</c:f>
              <c:numCache>
                <c:formatCode>#,##0</c:formatCode>
                <c:ptCount val="4"/>
                <c:pt idx="0">
                  <c:v>476594</c:v>
                </c:pt>
                <c:pt idx="1">
                  <c:v>2117123</c:v>
                </c:pt>
                <c:pt idx="2">
                  <c:v>1445127</c:v>
                </c:pt>
                <c:pt idx="3">
                  <c:v>2257444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0-4184-A94A-CC94AF7198E7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Tables'!$C$5:$C$9</c:f>
              <c:numCache>
                <c:formatCode>#,##0</c:formatCode>
                <c:ptCount val="4"/>
                <c:pt idx="0">
                  <c:v>899400</c:v>
                </c:pt>
                <c:pt idx="1">
                  <c:v>547800</c:v>
                </c:pt>
                <c:pt idx="2">
                  <c:v>581300</c:v>
                </c:pt>
                <c:pt idx="3">
                  <c:v>654500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0-4184-A94A-CC94AF7198E7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Tables'!$D$5:$D$9</c:f>
              <c:numCache>
                <c:formatCode>#,##0</c:formatCode>
                <c:ptCount val="4"/>
                <c:pt idx="0">
                  <c:v>20870</c:v>
                </c:pt>
                <c:pt idx="1">
                  <c:v>15350</c:v>
                </c:pt>
                <c:pt idx="2">
                  <c:v>16450</c:v>
                </c:pt>
                <c:pt idx="3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60-4184-A94A-CC94AF719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52671"/>
        <c:axId val="1838056175"/>
      </c:barChart>
      <c:catAx>
        <c:axId val="18276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56175"/>
        <c:crosses val="autoZero"/>
        <c:auto val="1"/>
        <c:lblAlgn val="ctr"/>
        <c:lblOffset val="100"/>
        <c:noMultiLvlLbl val="0"/>
      </c:catAx>
      <c:valAx>
        <c:axId val="183805617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82765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 By Sales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Tables'!$H$4:$H$12</c:f>
              <c:strCache>
                <c:ptCount val="8"/>
                <c:pt idx="0">
                  <c:v>Amit Ghosh</c:v>
                </c:pt>
                <c:pt idx="1">
                  <c:v>Ananya Rao</c:v>
                </c:pt>
                <c:pt idx="2">
                  <c:v>Divya Sharma</c:v>
                </c:pt>
                <c:pt idx="3">
                  <c:v>Karthik Iyer</c:v>
                </c:pt>
                <c:pt idx="4">
                  <c:v>Priya Mehta</c:v>
                </c:pt>
                <c:pt idx="5">
                  <c:v>Ravi Kumar</c:v>
                </c:pt>
                <c:pt idx="6">
                  <c:v>Rohan Shah</c:v>
                </c:pt>
                <c:pt idx="7">
                  <c:v>Sneha Das</c:v>
                </c:pt>
              </c:strCache>
            </c:strRef>
          </c:cat>
          <c:val>
            <c:numRef>
              <c:f>'Pivot Tables'!$I$4:$I$12</c:f>
              <c:numCache>
                <c:formatCode>#,##0</c:formatCode>
                <c:ptCount val="8"/>
                <c:pt idx="0">
                  <c:v>895307</c:v>
                </c:pt>
                <c:pt idx="1">
                  <c:v>952121</c:v>
                </c:pt>
                <c:pt idx="2">
                  <c:v>651813</c:v>
                </c:pt>
                <c:pt idx="3">
                  <c:v>1391064</c:v>
                </c:pt>
                <c:pt idx="4">
                  <c:v>1512305</c:v>
                </c:pt>
                <c:pt idx="5">
                  <c:v>1728152</c:v>
                </c:pt>
                <c:pt idx="6">
                  <c:v>1420839</c:v>
                </c:pt>
                <c:pt idx="7">
                  <c:v>501557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7-4066-99EE-341E66877F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331935"/>
        <c:axId val="105453359"/>
      </c:barChart>
      <c:catAx>
        <c:axId val="140331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3359"/>
        <c:crosses val="autoZero"/>
        <c:auto val="1"/>
        <c:lblAlgn val="ctr"/>
        <c:lblOffset val="100"/>
        <c:noMultiLvlLbl val="0"/>
      </c:catAx>
      <c:valAx>
        <c:axId val="10545335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4033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5994094488189"/>
              <c:y val="-0.19760462233887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4A455B-C5A3-437C-A4E0-814EFBF9F535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9BEE51B-9899-4D09-8A42-43E2D7681C51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A271A15-70D3-4B00-8FC1-EFFF55203620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5994094488189"/>
              <c:y val="-0.19760462233887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4A455B-C5A3-437C-A4E0-814EFBF9F535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9BEE51B-9899-4D09-8A42-43E2D7681C51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A271A15-70D3-4B00-8FC1-EFFF55203620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808839588482106"/>
              <c:y val="-0.16575756055970711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4A455B-C5A3-437C-A4E0-814EFBF9F535}" type="VALUE">
                  <a:rPr lang="en-US" b="1"/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844282238442821"/>
                  <c:h val="0.15904458598726115"/>
                </c:manualLayout>
              </c15:layout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.16308240132403831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9BEE51B-9899-4D09-8A42-43E2D7681C51}" type="VALUE">
                  <a:rPr lang="en-US" b="1"/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479318734793186"/>
                  <c:h val="0.15764331210191082"/>
                </c:manualLayout>
              </c15:layout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49150334310404E-4"/>
              <c:y val="3.2133507196950697E-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A271A15-70D3-4B00-8FC1-EFFF55203620}" type="VALUE">
                  <a:rPr lang="en-US" b="1"/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999865892675817"/>
          <c:y val="0.20918551582326098"/>
          <c:w val="0.52812958599153204"/>
          <c:h val="0.69127789758764235"/>
        </c:manualLayout>
      </c:layout>
      <c:pie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85-4D04-B9E1-B9CB172DE2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85-4D04-B9E1-B9CB172DE2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5-4D04-B9E1-B9CB172DE222}"/>
              </c:ext>
            </c:extLst>
          </c:dPt>
          <c:dLbls>
            <c:dLbl>
              <c:idx val="0"/>
              <c:layout>
                <c:manualLayout>
                  <c:x val="-0.23808839588482106"/>
                  <c:y val="-0.16575756055970711"/>
                </c:manualLayout>
              </c:layout>
              <c:tx>
                <c:rich>
                  <a:bodyPr/>
                  <a:lstStyle/>
                  <a:p>
                    <a:fld id="{0F4A455B-C5A3-437C-A4E0-814EFBF9F535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44282238442821"/>
                      <c:h val="0.1590445859872611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285-4D04-B9E1-B9CB172DE222}"/>
                </c:ext>
              </c:extLst>
            </c:dLbl>
            <c:dLbl>
              <c:idx val="1"/>
              <c:layout>
                <c:manualLayout>
                  <c:x val="0"/>
                  <c:y val="0.16308240132403831"/>
                </c:manualLayout>
              </c:layout>
              <c:tx>
                <c:rich>
                  <a:bodyPr/>
                  <a:lstStyle/>
                  <a:p>
                    <a:fld id="{A9BEE51B-9899-4D09-8A42-43E2D7681C51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79318734793186"/>
                      <c:h val="0.1576433121019108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285-4D04-B9E1-B9CB172DE222}"/>
                </c:ext>
              </c:extLst>
            </c:dLbl>
            <c:dLbl>
              <c:idx val="2"/>
              <c:layout>
                <c:manualLayout>
                  <c:x val="8.8549150334310404E-4"/>
                  <c:y val="3.2133507196950697E-2"/>
                </c:manualLayout>
              </c:layout>
              <c:tx>
                <c:rich>
                  <a:bodyPr/>
                  <a:lstStyle/>
                  <a:p>
                    <a:fld id="{1A271A15-70D3-4B00-8FC1-EFFF55203620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285-4D04-B9E1-B9CB172DE22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Tables'!$A$14:$A$17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'Pivot Tables'!$B$14:$B$17</c:f>
              <c:numCache>
                <c:formatCode>#,##0</c:formatCode>
                <c:ptCount val="3"/>
                <c:pt idx="0">
                  <c:v>6296288</c:v>
                </c:pt>
                <c:pt idx="1">
                  <c:v>2683000</c:v>
                </c:pt>
                <c:pt idx="2">
                  <c:v>73870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85-4D04-B9E1-B9CB172DE22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782688660267829E-2"/>
          <c:y val="0.70780179547620237"/>
          <c:w val="0.26549993294633789"/>
          <c:h val="0.20939565675309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0CC6910-F77A-4176-B23A-9129FE20CD23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F978628-84A1-491F-9A85-79A8BB1C5CAD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6C2CCE-4025-48DE-89F7-4374095D7FEE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BA5FE10-C384-4720-8710-3133421703A4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CD9107E-80D5-4624-8602-EAE27AD2B67F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2BF6C3B-6266-4431-8438-9CDB89097C74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8835201482167672E-2"/>
          <c:y val="7.5183165076657621E-2"/>
          <c:w val="0.94183547938860579"/>
          <c:h val="0.83313790436145108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3CD9107E-80D5-4624-8602-EAE27AD2B67F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422-49BC-8A4F-32F1D6A5CB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CC6910-F77A-4176-B23A-9129FE20CD23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422-49BC-8A4F-32F1D6A5CB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6C2CCE-4025-48DE-89F7-4374095D7FEE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422-49BC-8A4F-32F1D6A5CB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978628-84A1-491F-9A85-79A8BB1C5CAD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422-49BC-8A4F-32F1D6A5CB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A5FE10-C384-4720-8710-3133421703A4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422-49BC-8A4F-32F1D6A5CB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BF6C3B-6266-4431-8438-9CDB89097C74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422-49BC-8A4F-32F1D6A5CB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Tables'!$A$20:$A$26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Tables'!$B$20:$B$26</c:f>
              <c:numCache>
                <c:formatCode>#,##0</c:formatCode>
                <c:ptCount val="6"/>
                <c:pt idx="0">
                  <c:v>1372298</c:v>
                </c:pt>
                <c:pt idx="1">
                  <c:v>1056357</c:v>
                </c:pt>
                <c:pt idx="2">
                  <c:v>1917415</c:v>
                </c:pt>
                <c:pt idx="3">
                  <c:v>892391</c:v>
                </c:pt>
                <c:pt idx="4">
                  <c:v>2545980</c:v>
                </c:pt>
                <c:pt idx="5">
                  <c:v>1268717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2-49BC-8A4F-32F1D6A5CB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8590719"/>
        <c:axId val="105498479"/>
      </c:areaChart>
      <c:catAx>
        <c:axId val="98590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98479"/>
        <c:crosses val="autoZero"/>
        <c:auto val="1"/>
        <c:lblAlgn val="ctr"/>
        <c:lblOffset val="100"/>
        <c:noMultiLvlLbl val="0"/>
      </c:catAx>
      <c:valAx>
        <c:axId val="10549847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859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139700</xdr:rowOff>
    </xdr:from>
    <xdr:to>
      <xdr:col>5</xdr:col>
      <xdr:colOff>596900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C5479-3FFA-4EF4-A44B-741F3992E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18</xdr:row>
      <xdr:rowOff>44450</xdr:rowOff>
    </xdr:from>
    <xdr:to>
      <xdr:col>6</xdr:col>
      <xdr:colOff>19050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9F4399-DB75-4139-ACA2-1CA0A81C8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107950</xdr:colOff>
      <xdr:row>18</xdr:row>
      <xdr:rowOff>38100</xdr:rowOff>
    </xdr:from>
    <xdr:to>
      <xdr:col>10</xdr:col>
      <xdr:colOff>25400</xdr:colOff>
      <xdr:row>29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D5CEF-6485-4C77-A802-C3DF25EB3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736600</xdr:colOff>
      <xdr:row>6</xdr:row>
      <xdr:rowOff>139700</xdr:rowOff>
    </xdr:from>
    <xdr:to>
      <xdr:col>10</xdr:col>
      <xdr:colOff>12700</xdr:colOff>
      <xdr:row>17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24B7A1-63DD-4F17-8D0D-420587CA1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ru Ratnala" refreshedDate="46233.472461342593" createdVersion="8" refreshedVersion="8" minRefreshableVersion="3" recordCount="180" xr:uid="{E301FBA9-7893-419B-949E-99DED2674C07}">
  <cacheSource type="worksheet">
    <worksheetSource name="Table2"/>
  </cacheSource>
  <cacheFields count="10">
    <cacheField name="OrderID" numFmtId="0">
      <sharedItems containsSemiMixedTypes="0" containsString="0" containsNumber="1" containsInteger="1" minValue="1001" maxValue="1180"/>
    </cacheField>
    <cacheField name="OrderDate" numFmtId="164">
      <sharedItems containsSemiMixedTypes="0" containsNonDate="0" containsDate="1" containsString="0" minDate="2025-01-03T00:00:00" maxDate="2025-06-29T00:00:00"/>
    </cacheField>
    <cacheField name="Region Clean" numFmtId="0">
      <sharedItems count="4">
        <s v="North"/>
        <s v="West"/>
        <s v="South"/>
        <s v="East"/>
      </sharedItems>
    </cacheField>
    <cacheField name="Sales Person" numFmtId="0">
      <sharedItems/>
    </cacheField>
    <cacheField name="Product" numFmtId="0">
      <sharedItems/>
    </cacheField>
    <cacheField name="Category" numFmtId="0">
      <sharedItems count="3">
        <s v="Electronics"/>
        <s v="Furniture"/>
        <s v="Stationery"/>
      </sharedItems>
    </cacheField>
    <cacheField name="Units" numFmtId="0">
      <sharedItems containsSemiMixedTypes="0" containsString="0" containsNumber="1" containsInteger="1" minValue="0" maxValue="12"/>
    </cacheField>
    <cacheField name="Unit Price" numFmtId="3">
      <sharedItems containsSemiMixedTypes="0" containsString="0" containsNumber="1" containsInteger="1" minValue="120" maxValue="68000"/>
    </cacheField>
    <cacheField name="Duplicates Check" numFmtId="0">
      <sharedItems/>
    </cacheField>
    <cacheField name="Sales" numFmtId="0">
      <sharedItems containsSemiMixedTypes="0" containsString="0" containsNumber="1" containsInteger="1" minValue="0" maxValue="6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ru Ratnala" refreshedDate="46233.480183796295" backgroundQuery="1" createdVersion="8" refreshedVersion="8" minRefreshableVersion="3" recordCount="0" supportSubquery="1" supportAdvancedDrill="1" xr:uid="{BE759DA1-3E6D-408A-ADA4-79644FBC6587}">
  <cacheSource type="external" connectionId="1"/>
  <cacheFields count="4">
    <cacheField name="[Table2].[Region Clean].[Region Clean]" caption="Region Clean" numFmtId="0" hierarchy="2" level="1">
      <sharedItems count="4">
        <s v="East"/>
        <s v="North"/>
        <s v="South"/>
        <s v="West"/>
      </sharedItems>
    </cacheField>
    <cacheField name="[Measures].[Sum of Sales]" caption="Sum of Sales" numFmtId="0" hierarchy="14" level="32767"/>
    <cacheField name="[Table2].[Category].[Category]" caption="Category" numFmtId="0" hierarchy="5" level="1">
      <sharedItems count="3">
        <s v="Electronics"/>
        <s v="Furniture"/>
        <s v="Stationery"/>
      </sharedItems>
    </cacheField>
    <cacheField name="[Table2].[Sales Person].[Sales Person]" caption="Sales Person" numFmtId="0" hierarchy="3" level="1">
      <sharedItems containsSemiMixedTypes="0" containsNonDate="0" containsString="0"/>
    </cacheField>
  </cacheFields>
  <cacheHierarchies count="17">
    <cacheHierarchy uniqueName="[Table2].[OrderID]" caption="OrderID" attribute="1" defaultMemberUniqueName="[Table2].[OrderID].[All]" allUniqueName="[Table2].[OrderID].[All]" dimensionUniqueName="[Table2]" displayFolder="" count="0" memberValueDatatype="20" unbalanced="0"/>
    <cacheHierarchy uniqueName="[Table2].[OrderDate]" caption="OrderDate" attribute="1" time="1" defaultMemberUniqueName="[Table2].[OrderDate].[All]" allUniqueName="[Table2].[OrderDate].[All]" dimensionUniqueName="[Table2]" displayFolder="" count="0" memberValueDatatype="7" unbalanced="0"/>
    <cacheHierarchy uniqueName="[Table2].[Region Clean]" caption="Region Clean" attribute="1" defaultMemberUniqueName="[Table2].[Region Clean].[All]" allUniqueName="[Table2].[Region Clea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ales Person]" caption="Sales Person" attribute="1" defaultMemberUniqueName="[Table2].[Sales Person].[All]" allUniqueName="[Table2].[Sales Person].[All]" dimensionUniqueName="[Table2]" displayFolder="" count="2" memberValueDatatype="130" unbalanced="0">
      <fieldsUsage count="2">
        <fieldUsage x="-1"/>
        <fieldUsage x="3"/>
      </fieldsUsage>
    </cacheHierarchy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Units]" caption="Units" attribute="1" defaultMemberUniqueName="[Table2].[Units].[All]" allUniqueName="[Table2].[Units].[All]" dimensionUniqueName="[Table2]" displayFolder="" count="0" memberValueDatatype="20" unbalanced="0"/>
    <cacheHierarchy uniqueName="[Table2].[Unit Price]" caption="Unit Price" attribute="1" defaultMemberUniqueName="[Table2].[Unit Price].[All]" allUniqueName="[Table2].[Unit Price].[All]" dimensionUniqueName="[Table2]" displayFolder="" count="0" memberValueDatatype="20" unbalanced="0"/>
    <cacheHierarchy uniqueName="[Table2].[Duplicates Check]" caption="Duplicates Check" attribute="1" defaultMemberUniqueName="[Table2].[Duplicates Check].[All]" allUniqueName="[Table2].[Duplicates Check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OrderDate (Month)]" caption="OrderDate (Month)" attribute="1" defaultMemberUniqueName="[Table2].[OrderDate (Month)].[All]" allUniqueName="[Table2].[OrderDate (Month)].[All]" dimensionUniqueName="[Table2]" displayFolder="" count="0" memberValueDatatype="130" unbalanced="0"/>
    <cacheHierarchy uniqueName="[Table2].[OrderDate (Month Index)]" caption="OrderDate (Month Index)" attribute="1" defaultMemberUniqueName="[Table2].[OrderDate (Month Index)].[All]" allUniqueName="[Table2].[Order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ru Ratnala" refreshedDate="46233.480184722219" backgroundQuery="1" createdVersion="8" refreshedVersion="8" minRefreshableVersion="3" recordCount="0" supportSubquery="1" supportAdvancedDrill="1" xr:uid="{E417766D-F776-4BAC-ADCD-2A685B8DCA10}">
  <cacheSource type="external" connectionId="1"/>
  <cacheFields count="3">
    <cacheField name="[Table2].[Sales Person].[Sales Person]" caption="Sales Person" numFmtId="0" hierarchy="3" level="1">
      <sharedItems count="8">
        <s v="Amit Ghosh"/>
        <s v="Ananya Rao"/>
        <s v="Divya Sharma"/>
        <s v="Karthik Iyer"/>
        <s v="Priya Mehta"/>
        <s v="Ravi Kumar"/>
        <s v="Rohan Shah"/>
        <s v="Sneha Das"/>
      </sharedItems>
    </cacheField>
    <cacheField name="[Measures].[Sum of Sales]" caption="Sum of Sales" numFmtId="0" hierarchy="14" level="32767"/>
    <cacheField name="[Table2].[Region Clean].[Region Clean]" caption="Region Clean" numFmtId="0" hierarchy="2" level="1">
      <sharedItems count="4">
        <s v="East"/>
        <s v="North"/>
        <s v="South"/>
        <s v="West"/>
      </sharedItems>
    </cacheField>
  </cacheFields>
  <cacheHierarchies count="17">
    <cacheHierarchy uniqueName="[Table2].[OrderID]" caption="OrderID" attribute="1" defaultMemberUniqueName="[Table2].[OrderID].[All]" allUniqueName="[Table2].[OrderID].[All]" dimensionUniqueName="[Table2]" displayFolder="" count="0" memberValueDatatype="20" unbalanced="0"/>
    <cacheHierarchy uniqueName="[Table2].[OrderDate]" caption="OrderDate" attribute="1" time="1" defaultMemberUniqueName="[Table2].[OrderDate].[All]" allUniqueName="[Table2].[OrderDate].[All]" dimensionUniqueName="[Table2]" displayFolder="" count="0" memberValueDatatype="7" unbalanced="0"/>
    <cacheHierarchy uniqueName="[Table2].[Region Clean]" caption="Region Clean" attribute="1" defaultMemberUniqueName="[Table2].[Region Clean].[All]" allUniqueName="[Table2].[Region Clean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Sales Person]" caption="Sales Person" attribute="1" defaultMemberUniqueName="[Table2].[Sales Person].[All]" allUniqueName="[Table2].[Sales Pers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Units]" caption="Units" attribute="1" defaultMemberUniqueName="[Table2].[Units].[All]" allUniqueName="[Table2].[Units].[All]" dimensionUniqueName="[Table2]" displayFolder="" count="0" memberValueDatatype="20" unbalanced="0"/>
    <cacheHierarchy uniqueName="[Table2].[Unit Price]" caption="Unit Price" attribute="1" defaultMemberUniqueName="[Table2].[Unit Price].[All]" allUniqueName="[Table2].[Unit Price].[All]" dimensionUniqueName="[Table2]" displayFolder="" count="0" memberValueDatatype="20" unbalanced="0"/>
    <cacheHierarchy uniqueName="[Table2].[Duplicates Check]" caption="Duplicates Check" attribute="1" defaultMemberUniqueName="[Table2].[Duplicates Check].[All]" allUniqueName="[Table2].[Duplicates Check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OrderDate (Month)]" caption="OrderDate (Month)" attribute="1" defaultMemberUniqueName="[Table2].[OrderDate (Month)].[All]" allUniqueName="[Table2].[OrderDate (Month)].[All]" dimensionUniqueName="[Table2]" displayFolder="" count="0" memberValueDatatype="130" unbalanced="0"/>
    <cacheHierarchy uniqueName="[Table2].[OrderDate (Month Index)]" caption="OrderDate (Month Index)" attribute="1" defaultMemberUniqueName="[Table2].[OrderDate (Month Index)].[All]" allUniqueName="[Table2].[Order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ru Ratnala" refreshedDate="46233.480260532408" backgroundQuery="1" createdVersion="8" refreshedVersion="8" minRefreshableVersion="3" recordCount="0" supportSubquery="1" supportAdvancedDrill="1" xr:uid="{94CE5861-5A87-44CD-B591-BAB7F102901B}">
  <cacheSource type="external" connectionId="1"/>
  <cacheFields count="2">
    <cacheField name="[Measures].[Sum of Sales]" caption="Sum of Sales" numFmtId="0" hierarchy="14" level="32767"/>
    <cacheField name="[Table2].[OrderDate (Month)].[OrderDate (Month)]" caption="OrderDate (Month)" numFmtId="0" hierarchy="10" level="1">
      <sharedItems count="6">
        <s v="Jan"/>
        <s v="Feb"/>
        <s v="Mar"/>
        <s v="Apr"/>
        <s v="May"/>
        <s v="Jun"/>
      </sharedItems>
    </cacheField>
  </cacheFields>
  <cacheHierarchies count="17">
    <cacheHierarchy uniqueName="[Table2].[OrderID]" caption="OrderID" attribute="1" defaultMemberUniqueName="[Table2].[OrderID].[All]" allUniqueName="[Table2].[OrderID].[All]" dimensionUniqueName="[Table2]" displayFolder="" count="0" memberValueDatatype="20" unbalanced="0"/>
    <cacheHierarchy uniqueName="[Table2].[OrderDate]" caption="OrderDate" attribute="1" time="1" defaultMemberUniqueName="[Table2].[OrderDate].[All]" allUniqueName="[Table2].[OrderDate].[All]" dimensionUniqueName="[Table2]" displayFolder="" count="2" memberValueDatatype="7" unbalanced="0"/>
    <cacheHierarchy uniqueName="[Table2].[Region Clean]" caption="Region Clean" attribute="1" defaultMemberUniqueName="[Table2].[Region Clean].[All]" allUniqueName="[Table2].[Region Clean].[All]" dimensionUniqueName="[Table2]" displayFolder="" count="0" memberValueDatatype="130" unbalanced="0"/>
    <cacheHierarchy uniqueName="[Table2].[Sales Person]" caption="Sales Person" attribute="1" defaultMemberUniqueName="[Table2].[Sales Person].[All]" allUniqueName="[Table2].[Sales Person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Units]" caption="Units" attribute="1" defaultMemberUniqueName="[Table2].[Units].[All]" allUniqueName="[Table2].[Units].[All]" dimensionUniqueName="[Table2]" displayFolder="" count="0" memberValueDatatype="20" unbalanced="0"/>
    <cacheHierarchy uniqueName="[Table2].[Unit Price]" caption="Unit Price" attribute="1" defaultMemberUniqueName="[Table2].[Unit Price].[All]" allUniqueName="[Table2].[Unit Price].[All]" dimensionUniqueName="[Table2]" displayFolder="" count="0" memberValueDatatype="20" unbalanced="0"/>
    <cacheHierarchy uniqueName="[Table2].[Duplicates Check]" caption="Duplicates Check" attribute="1" defaultMemberUniqueName="[Table2].[Duplicates Check].[All]" allUniqueName="[Table2].[Duplicates Check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OrderDate (Month)]" caption="OrderDate (Month)" attribute="1" defaultMemberUniqueName="[Table2].[OrderDate (Month)].[All]" allUniqueName="[Table2].[OrderDate (Month)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OrderDate (Month Index)]" caption="OrderDate (Month Index)" attribute="1" defaultMemberUniqueName="[Table2].[OrderDate (Month Index)].[All]" allUniqueName="[Table2].[Order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088"/>
    <d v="2025-03-07T00:00:00"/>
    <x v="0"/>
    <s v="Ananya Rao"/>
    <s v="Laptop Pro 14"/>
    <x v="0"/>
    <n v="9"/>
    <n v="68000"/>
    <s v="Unique"/>
    <n v="612000"/>
  </r>
  <r>
    <n v="1055"/>
    <d v="2025-05-30T00:00:00"/>
    <x v="1"/>
    <s v="Priya Mehta"/>
    <s v="Laptop Pro 14"/>
    <x v="0"/>
    <n v="9"/>
    <n v="68000"/>
    <s v="Unique"/>
    <n v="612000"/>
  </r>
  <r>
    <n v="1164"/>
    <d v="2025-05-22T00:00:00"/>
    <x v="0"/>
    <s v="Ravi Kumar"/>
    <s v="Laptop Pro 14"/>
    <x v="0"/>
    <n v="7"/>
    <n v="68000"/>
    <s v="Unique"/>
    <n v="476000"/>
  </r>
  <r>
    <n v="1114"/>
    <d v="2025-01-06T00:00:00"/>
    <x v="1"/>
    <s v="Rohan Shah"/>
    <s v="Laptop Pro 14"/>
    <x v="0"/>
    <n v="6"/>
    <n v="68000"/>
    <s v="Unique"/>
    <n v="408000"/>
  </r>
  <r>
    <n v="1074"/>
    <d v="2025-02-07T00:00:00"/>
    <x v="1"/>
    <s v="Priya Mehta"/>
    <s v="Laptop Pro 14"/>
    <x v="0"/>
    <n v="5"/>
    <n v="68000"/>
    <s v="Unique"/>
    <n v="340000"/>
  </r>
  <r>
    <n v="1125"/>
    <d v="2025-06-16T00:00:00"/>
    <x v="0"/>
    <s v="Ravi Kumar"/>
    <s v="Laptop Pro 14"/>
    <x v="0"/>
    <n v="4"/>
    <n v="68000"/>
    <s v="Unique"/>
    <n v="272000"/>
  </r>
  <r>
    <n v="1017"/>
    <d v="2025-03-11T00:00:00"/>
    <x v="2"/>
    <s v="Karthik Iyer"/>
    <s v="Laptop Pro 14"/>
    <x v="0"/>
    <n v="4"/>
    <n v="68000"/>
    <s v="Unique"/>
    <n v="272000"/>
  </r>
  <r>
    <n v="1165"/>
    <d v="2025-04-26T00:00:00"/>
    <x v="1"/>
    <s v="Rohan Shah"/>
    <s v="Laptop Pro 14"/>
    <x v="0"/>
    <n v="4"/>
    <n v="68000"/>
    <s v="Unique"/>
    <n v="272000"/>
  </r>
  <r>
    <n v="1130"/>
    <d v="2025-01-07T00:00:00"/>
    <x v="3"/>
    <s v="Amit Ghosh"/>
    <s v="27In Monitor"/>
    <x v="0"/>
    <n v="12"/>
    <n v="18500"/>
    <s v="Unique"/>
    <n v="222000"/>
  </r>
  <r>
    <n v="1050"/>
    <d v="2025-05-04T00:00:00"/>
    <x v="2"/>
    <s v="Karthik Iyer"/>
    <s v="Laptop Pro 14"/>
    <x v="0"/>
    <n v="3"/>
    <n v="68000"/>
    <s v="Unique"/>
    <n v="204000"/>
  </r>
  <r>
    <n v="1058"/>
    <d v="2025-03-05T00:00:00"/>
    <x v="0"/>
    <s v="Ravi Kumar"/>
    <s v="27In Monitor"/>
    <x v="0"/>
    <n v="11"/>
    <n v="18500"/>
    <s v="Unique"/>
    <n v="203500"/>
  </r>
  <r>
    <n v="1035"/>
    <d v="2025-06-26T00:00:00"/>
    <x v="2"/>
    <s v="Karthik Iyer"/>
    <s v="27In Monitor"/>
    <x v="0"/>
    <n v="11"/>
    <n v="18500"/>
    <s v="Unique"/>
    <n v="203500"/>
  </r>
  <r>
    <n v="1150"/>
    <d v="2025-05-18T00:00:00"/>
    <x v="2"/>
    <s v="Divya Sharma"/>
    <s v="Standing Desk"/>
    <x v="1"/>
    <n v="12"/>
    <n v="15500"/>
    <s v="Unique"/>
    <n v="186000"/>
  </r>
  <r>
    <n v="1059"/>
    <d v="2025-05-30T00:00:00"/>
    <x v="3"/>
    <s v="Amit Ghosh"/>
    <s v="Standing Desk"/>
    <x v="1"/>
    <n v="11"/>
    <n v="15500"/>
    <s v="Unique"/>
    <n v="170500"/>
  </r>
  <r>
    <n v="1075"/>
    <d v="2025-04-04T00:00:00"/>
    <x v="0"/>
    <s v="Ananya Rao"/>
    <s v="Standing Desk"/>
    <x v="1"/>
    <n v="11"/>
    <n v="15500"/>
    <s v="Unique"/>
    <n v="170500"/>
  </r>
  <r>
    <n v="1107"/>
    <d v="2025-05-02T00:00:00"/>
    <x v="1"/>
    <s v="Rohan Shah"/>
    <s v="Standing Desk"/>
    <x v="1"/>
    <n v="11"/>
    <n v="15500"/>
    <s v="Unique"/>
    <n v="170500"/>
  </r>
  <r>
    <n v="1049"/>
    <d v="2025-01-24T00:00:00"/>
    <x v="2"/>
    <s v="Divya Sharma"/>
    <s v="27In Monitor"/>
    <x v="0"/>
    <n v="8"/>
    <n v="18500"/>
    <s v="Unique"/>
    <n v="148000"/>
  </r>
  <r>
    <n v="1034"/>
    <d v="2025-02-12T00:00:00"/>
    <x v="3"/>
    <s v="Amit Ghosh"/>
    <s v="Standing Desk"/>
    <x v="1"/>
    <n v="9"/>
    <n v="15500"/>
    <s v="Unique"/>
    <n v="139500"/>
  </r>
  <r>
    <n v="1085"/>
    <d v="2025-03-08T00:00:00"/>
    <x v="2"/>
    <s v="Karthik Iyer"/>
    <s v="Laptop Pro 14"/>
    <x v="0"/>
    <n v="2"/>
    <n v="68000"/>
    <s v="Unique"/>
    <n v="136000"/>
  </r>
  <r>
    <n v="1038"/>
    <d v="2025-01-06T00:00:00"/>
    <x v="2"/>
    <s v="Divya Sharma"/>
    <s v="Laptop Pro 14"/>
    <x v="0"/>
    <n v="2"/>
    <n v="68000"/>
    <s v="Unique"/>
    <n v="136000"/>
  </r>
  <r>
    <n v="1003"/>
    <d v="2025-06-01T00:00:00"/>
    <x v="1"/>
    <s v="Priya Mehta"/>
    <s v="Laptop Pro 14"/>
    <x v="0"/>
    <n v="2"/>
    <n v="68000"/>
    <s v="Unique"/>
    <n v="136000"/>
  </r>
  <r>
    <n v="1084"/>
    <d v="2025-05-11T00:00:00"/>
    <x v="1"/>
    <s v="Rohan Shah"/>
    <s v="Laptop Pro 14"/>
    <x v="0"/>
    <n v="2"/>
    <n v="68000"/>
    <s v="Unique"/>
    <n v="136000"/>
  </r>
  <r>
    <n v="1082"/>
    <d v="2025-02-27T00:00:00"/>
    <x v="0"/>
    <s v="Ravi Kumar"/>
    <s v="27In Monitor"/>
    <x v="0"/>
    <n v="6"/>
    <n v="18500"/>
    <s v="Unique"/>
    <n v="111000"/>
  </r>
  <r>
    <n v="1006"/>
    <d v="2025-03-13T00:00:00"/>
    <x v="0"/>
    <s v="Ravi Kumar"/>
    <s v="27In Monitor"/>
    <x v="0"/>
    <n v="6"/>
    <n v="18500"/>
    <s v="Unique"/>
    <n v="111000"/>
  </r>
  <r>
    <n v="1117"/>
    <d v="2025-04-22T00:00:00"/>
    <x v="1"/>
    <s v="Priya Mehta"/>
    <s v="27In Monitor"/>
    <x v="0"/>
    <n v="6"/>
    <n v="18500"/>
    <s v="Unique"/>
    <n v="111000"/>
  </r>
  <r>
    <n v="1092"/>
    <d v="2025-06-28T00:00:00"/>
    <x v="3"/>
    <s v="Sneha Das"/>
    <s v="Standing Desk"/>
    <x v="1"/>
    <n v="7"/>
    <n v="15500"/>
    <s v="Unique"/>
    <n v="108500"/>
  </r>
  <r>
    <n v="1140"/>
    <d v="2025-03-25T00:00:00"/>
    <x v="2"/>
    <s v="Karthik Iyer"/>
    <s v="Standing Desk"/>
    <x v="1"/>
    <n v="6"/>
    <n v="15500"/>
    <s v="Unique"/>
    <n v="93000"/>
  </r>
  <r>
    <n v="1079"/>
    <d v="2025-06-21T00:00:00"/>
    <x v="2"/>
    <s v="Karthik Iyer"/>
    <s v="Office Chair"/>
    <x v="1"/>
    <n v="12"/>
    <n v="6500"/>
    <s v="Unique"/>
    <n v="78000"/>
  </r>
  <r>
    <n v="1106"/>
    <d v="2025-05-10T00:00:00"/>
    <x v="1"/>
    <s v="Rohan Shah"/>
    <s v="Office Chair"/>
    <x v="1"/>
    <n v="12"/>
    <n v="6500"/>
    <s v="Unique"/>
    <n v="78000"/>
  </r>
  <r>
    <n v="1102"/>
    <d v="2025-02-07T00:00:00"/>
    <x v="0"/>
    <s v="Ravi Kumar"/>
    <s v="27In Monitor"/>
    <x v="0"/>
    <n v="4"/>
    <n v="18500"/>
    <s v="Unique"/>
    <n v="74000"/>
  </r>
  <r>
    <n v="1042"/>
    <d v="2025-05-02T00:00:00"/>
    <x v="2"/>
    <s v="Karthik Iyer"/>
    <s v="27In Monitor"/>
    <x v="0"/>
    <n v="4"/>
    <n v="18500"/>
    <s v="Unique"/>
    <n v="74000"/>
  </r>
  <r>
    <n v="1101"/>
    <d v="2025-06-28T00:00:00"/>
    <x v="1"/>
    <s v="Rohan Shah"/>
    <s v="27In Monitor"/>
    <x v="0"/>
    <n v="4"/>
    <n v="18500"/>
    <s v="Unique"/>
    <n v="74000"/>
  </r>
  <r>
    <n v="1023"/>
    <d v="2025-01-24T00:00:00"/>
    <x v="0"/>
    <s v="Ravi Kumar"/>
    <s v="Office Chair"/>
    <x v="1"/>
    <n v="11"/>
    <n v="6500"/>
    <s v="Unique"/>
    <n v="71500"/>
  </r>
  <r>
    <n v="1096"/>
    <d v="2025-04-24T00:00:00"/>
    <x v="2"/>
    <s v="Karthik Iyer"/>
    <s v="Office Chair"/>
    <x v="1"/>
    <n v="11"/>
    <n v="6500"/>
    <s v="Unique"/>
    <n v="71500"/>
  </r>
  <r>
    <n v="1054"/>
    <d v="2025-05-19T00:00:00"/>
    <x v="0"/>
    <s v="Ananya Rao"/>
    <s v="Laptop Pro 14"/>
    <x v="0"/>
    <n v="1"/>
    <n v="68000"/>
    <s v="Unique"/>
    <n v="68000"/>
  </r>
  <r>
    <n v="1153"/>
    <d v="2025-01-04T00:00:00"/>
    <x v="2"/>
    <s v="Karthik Iyer"/>
    <s v="Laptop Pro 14"/>
    <x v="0"/>
    <n v="1"/>
    <n v="68000"/>
    <s v="Unique"/>
    <n v="68000"/>
  </r>
  <r>
    <n v="1158"/>
    <d v="2025-05-28T00:00:00"/>
    <x v="0"/>
    <s v="Ravi Kumar"/>
    <s v="Office Chair"/>
    <x v="1"/>
    <n v="10"/>
    <n v="6500"/>
    <s v="Unique"/>
    <n v="65000"/>
  </r>
  <r>
    <n v="1176"/>
    <d v="2025-05-13T00:00:00"/>
    <x v="1"/>
    <s v="Rohan Shah"/>
    <s v="Office Chair"/>
    <x v="1"/>
    <n v="10"/>
    <n v="6500"/>
    <s v="Unique"/>
    <n v="65000"/>
  </r>
  <r>
    <n v="1045"/>
    <d v="2025-04-14T00:00:00"/>
    <x v="3"/>
    <s v="Sneha Das"/>
    <s v="Standing Desk"/>
    <x v="1"/>
    <n v="4"/>
    <n v="15500"/>
    <s v="Unique"/>
    <n v="62000"/>
  </r>
  <r>
    <n v="1120"/>
    <d v="2025-06-19T00:00:00"/>
    <x v="0"/>
    <s v="Ravi Kumar"/>
    <s v="27In Monitor"/>
    <x v="0"/>
    <n v="3"/>
    <n v="18500"/>
    <s v="Unique"/>
    <n v="55500"/>
  </r>
  <r>
    <n v="1060"/>
    <d v="2025-03-22T00:00:00"/>
    <x v="2"/>
    <s v="Karthik Iyer"/>
    <s v="27In Monitor"/>
    <x v="0"/>
    <n v="3"/>
    <n v="18500"/>
    <s v="Unique"/>
    <n v="55500"/>
  </r>
  <r>
    <n v="1046"/>
    <d v="2025-02-18T00:00:00"/>
    <x v="1"/>
    <s v="Priya Mehta"/>
    <s v="27In Monitor"/>
    <x v="0"/>
    <n v="3"/>
    <n v="18500"/>
    <s v="Unique"/>
    <n v="55500"/>
  </r>
  <r>
    <n v="1064"/>
    <d v="2025-03-04T00:00:00"/>
    <x v="3"/>
    <s v="Amit Ghosh"/>
    <s v="Office Chair"/>
    <x v="1"/>
    <n v="8"/>
    <n v="6500"/>
    <s v="Unique"/>
    <n v="52000"/>
  </r>
  <r>
    <n v="1175"/>
    <d v="2025-01-06T00:00:00"/>
    <x v="3"/>
    <s v="Sneha Das"/>
    <s v="Office Chair"/>
    <x v="1"/>
    <n v="8"/>
    <n v="6500"/>
    <s v="Unique"/>
    <n v="52000"/>
  </r>
  <r>
    <n v="1127"/>
    <d v="2025-05-02T00:00:00"/>
    <x v="0"/>
    <s v="Ravi Kumar"/>
    <s v="Bookshelf"/>
    <x v="1"/>
    <n v="12"/>
    <n v="4200"/>
    <s v="Unique"/>
    <n v="50400"/>
  </r>
  <r>
    <n v="1098"/>
    <d v="2025-06-22T00:00:00"/>
    <x v="3"/>
    <s v="Sneha Das"/>
    <s v="Standing Desk"/>
    <x v="1"/>
    <n v="3"/>
    <n v="15500"/>
    <s v="Unique"/>
    <n v="46500"/>
  </r>
  <r>
    <n v="1126"/>
    <d v="2025-02-21T00:00:00"/>
    <x v="0"/>
    <s v="Ravi Kumar"/>
    <s v="Standing Desk"/>
    <x v="1"/>
    <n v="3"/>
    <n v="15500"/>
    <s v="Unique"/>
    <n v="46500"/>
  </r>
  <r>
    <n v="1163"/>
    <d v="2025-06-19T00:00:00"/>
    <x v="0"/>
    <s v="Ravi Kumar"/>
    <s v="Standing Desk"/>
    <x v="1"/>
    <n v="3"/>
    <n v="15500"/>
    <s v="Unique"/>
    <n v="46500"/>
  </r>
  <r>
    <n v="1143"/>
    <d v="2025-04-15T00:00:00"/>
    <x v="1"/>
    <s v="Priya Mehta"/>
    <s v="Bookshelf"/>
    <x v="1"/>
    <n v="11"/>
    <n v="4200"/>
    <s v="Unique"/>
    <n v="46200"/>
  </r>
  <r>
    <n v="1013"/>
    <d v="2025-01-26T00:00:00"/>
    <x v="1"/>
    <s v="Rohan Shah"/>
    <s v="Bookshelf"/>
    <x v="1"/>
    <n v="11"/>
    <n v="4200"/>
    <s v="Unique"/>
    <n v="46200"/>
  </r>
  <r>
    <n v="1104"/>
    <d v="2025-02-01T00:00:00"/>
    <x v="1"/>
    <s v="Priya Mehta"/>
    <s v="Bookshelf"/>
    <x v="1"/>
    <n v="11"/>
    <n v="4200"/>
    <s v="Unique"/>
    <n v="46200"/>
  </r>
  <r>
    <n v="1135"/>
    <d v="2025-04-21T00:00:00"/>
    <x v="3"/>
    <s v="Amit Ghosh"/>
    <s v="Office Chair"/>
    <x v="1"/>
    <n v="7"/>
    <n v="6500"/>
    <s v="Unique"/>
    <n v="45500"/>
  </r>
  <r>
    <n v="1099"/>
    <d v="2025-01-07T00:00:00"/>
    <x v="0"/>
    <s v="Ravi Kumar"/>
    <s v="Bookshelf"/>
    <x v="1"/>
    <n v="10"/>
    <n v="4200"/>
    <s v="Unique"/>
    <n v="42000"/>
  </r>
  <r>
    <n v="1138"/>
    <d v="2025-03-13T00:00:00"/>
    <x v="1"/>
    <s v="Priya Mehta"/>
    <s v="Bookshelf"/>
    <x v="1"/>
    <n v="10"/>
    <n v="4200"/>
    <s v="Unique"/>
    <n v="42000"/>
  </r>
  <r>
    <n v="1005"/>
    <d v="2025-06-16T00:00:00"/>
    <x v="1"/>
    <s v="Priya Mehta"/>
    <s v="Bookshelf"/>
    <x v="1"/>
    <n v="10"/>
    <n v="4200"/>
    <s v="Unique"/>
    <n v="42000"/>
  </r>
  <r>
    <n v="1009"/>
    <d v="2025-06-04T00:00:00"/>
    <x v="3"/>
    <s v="Sneha Das"/>
    <s v="Bookshelf"/>
    <x v="1"/>
    <n v="9"/>
    <n v="4200"/>
    <s v="Unique"/>
    <n v="37800"/>
  </r>
  <r>
    <n v="1071"/>
    <d v="2025-02-03T00:00:00"/>
    <x v="3"/>
    <s v="Sneha Das"/>
    <s v="Bookshelf"/>
    <x v="1"/>
    <n v="9"/>
    <n v="4200"/>
    <s v="Unique"/>
    <n v="37800"/>
  </r>
  <r>
    <n v="1033"/>
    <d v="2025-05-17T00:00:00"/>
    <x v="2"/>
    <s v="Divya Sharma"/>
    <s v="Bookshelf"/>
    <x v="1"/>
    <n v="9"/>
    <n v="4200"/>
    <s v="Unique"/>
    <n v="37800"/>
  </r>
  <r>
    <n v="1167"/>
    <d v="2025-03-01T00:00:00"/>
    <x v="3"/>
    <s v="Sneha Das"/>
    <s v="27In Monitor"/>
    <x v="0"/>
    <n v="2"/>
    <n v="18500"/>
    <s v="Unique"/>
    <n v="37000"/>
  </r>
  <r>
    <n v="1089"/>
    <d v="2025-05-18T00:00:00"/>
    <x v="2"/>
    <s v="Karthik Iyer"/>
    <s v="27In Monitor"/>
    <x v="0"/>
    <n v="2"/>
    <n v="18500"/>
    <s v="Unique"/>
    <n v="37000"/>
  </r>
  <r>
    <n v="1105"/>
    <d v="2025-05-16T00:00:00"/>
    <x v="3"/>
    <s v="Amit Ghosh"/>
    <s v="Bluetooth Speaker"/>
    <x v="0"/>
    <n v="12"/>
    <n v="2999"/>
    <s v="Unique"/>
    <n v="35988"/>
  </r>
  <r>
    <n v="1141"/>
    <d v="2025-03-08T00:00:00"/>
    <x v="3"/>
    <s v="Amit Ghosh"/>
    <s v="Bluetooth Speaker"/>
    <x v="0"/>
    <n v="12"/>
    <n v="2999"/>
    <s v="Unique"/>
    <n v="35988"/>
  </r>
  <r>
    <n v="1053"/>
    <d v="2025-03-17T00:00:00"/>
    <x v="2"/>
    <s v="Divya Sharma"/>
    <s v="Bluetooth Speaker"/>
    <x v="0"/>
    <n v="12"/>
    <n v="2999"/>
    <s v="Unique"/>
    <n v="35988"/>
  </r>
  <r>
    <n v="1113"/>
    <d v="2025-02-22T00:00:00"/>
    <x v="1"/>
    <s v="Rohan Shah"/>
    <s v="Bluetooth Speaker"/>
    <x v="0"/>
    <n v="12"/>
    <n v="2999"/>
    <s v="Unique"/>
    <n v="35988"/>
  </r>
  <r>
    <n v="1155"/>
    <d v="2025-01-04T00:00:00"/>
    <x v="3"/>
    <s v="Amit Ghosh"/>
    <s v="Bookshelf"/>
    <x v="1"/>
    <n v="8"/>
    <n v="4200"/>
    <s v="Unique"/>
    <n v="33600"/>
  </r>
  <r>
    <n v="1160"/>
    <d v="2025-04-17T00:00:00"/>
    <x v="2"/>
    <s v="Karthik Iyer"/>
    <s v="Bookshelf"/>
    <x v="1"/>
    <n v="8"/>
    <n v="4200"/>
    <s v="Unique"/>
    <n v="33600"/>
  </r>
  <r>
    <n v="1095"/>
    <d v="2025-02-23T00:00:00"/>
    <x v="1"/>
    <s v="Rohan Shah"/>
    <s v="Bookshelf"/>
    <x v="1"/>
    <n v="8"/>
    <n v="4200"/>
    <s v="Unique"/>
    <n v="33600"/>
  </r>
  <r>
    <n v="1015"/>
    <d v="2025-06-21T00:00:00"/>
    <x v="3"/>
    <s v="Sneha Das"/>
    <s v="Bluetooth Speaker"/>
    <x v="0"/>
    <n v="11"/>
    <n v="2999"/>
    <s v="Unique"/>
    <n v="32989"/>
  </r>
  <r>
    <n v="1152"/>
    <d v="2025-03-17T00:00:00"/>
    <x v="2"/>
    <s v="Karthik Iyer"/>
    <s v="Office Chair"/>
    <x v="1"/>
    <n v="5"/>
    <n v="6500"/>
    <s v="Unique"/>
    <n v="32500"/>
  </r>
  <r>
    <n v="1137"/>
    <d v="2025-06-01T00:00:00"/>
    <x v="3"/>
    <s v="Amit Ghosh"/>
    <s v="Standing Desk"/>
    <x v="1"/>
    <n v="2"/>
    <n v="15500"/>
    <s v="Unique"/>
    <n v="31000"/>
  </r>
  <r>
    <n v="1128"/>
    <d v="2025-03-07T00:00:00"/>
    <x v="3"/>
    <s v="Sneha Das"/>
    <s v="Bluetooth Speaker"/>
    <x v="0"/>
    <n v="10"/>
    <n v="2999"/>
    <s v="Unique"/>
    <n v="29990"/>
  </r>
  <r>
    <n v="1174"/>
    <d v="2025-01-07T00:00:00"/>
    <x v="0"/>
    <s v="Ravi Kumar"/>
    <s v="Bluetooth Speaker"/>
    <x v="0"/>
    <n v="10"/>
    <n v="2999"/>
    <s v="Unique"/>
    <n v="29990"/>
  </r>
  <r>
    <n v="1119"/>
    <d v="2025-06-09T00:00:00"/>
    <x v="0"/>
    <s v="Ananya Rao"/>
    <s v="Bluetooth Speaker"/>
    <x v="0"/>
    <n v="10"/>
    <n v="2999"/>
    <s v="Unique"/>
    <n v="29990"/>
  </r>
  <r>
    <n v="1041"/>
    <d v="2025-05-05T00:00:00"/>
    <x v="2"/>
    <s v="Divya Sharma"/>
    <s v="Bluetooth Speaker"/>
    <x v="0"/>
    <n v="10"/>
    <n v="2999"/>
    <s v="Unique"/>
    <n v="29990"/>
  </r>
  <r>
    <n v="1161"/>
    <d v="2025-03-18T00:00:00"/>
    <x v="1"/>
    <s v="Rohan Shah"/>
    <s v="Bluetooth Speaker"/>
    <x v="0"/>
    <n v="10"/>
    <n v="2999"/>
    <s v="Unique"/>
    <n v="29990"/>
  </r>
  <r>
    <n v="1019"/>
    <d v="2025-02-24T00:00:00"/>
    <x v="3"/>
    <s v="Sneha Das"/>
    <s v="Bookshelf"/>
    <x v="1"/>
    <n v="7"/>
    <n v="4200"/>
    <s v="Unique"/>
    <n v="29400"/>
  </r>
  <r>
    <n v="1136"/>
    <d v="2025-02-15T00:00:00"/>
    <x v="3"/>
    <s v="Amit Ghosh"/>
    <s v="Bookshelf"/>
    <x v="1"/>
    <n v="7"/>
    <n v="4200"/>
    <s v="Unique"/>
    <n v="29400"/>
  </r>
  <r>
    <n v="1016"/>
    <d v="2025-02-13T00:00:00"/>
    <x v="2"/>
    <s v="Divya Sharma"/>
    <s v="Bookshelf"/>
    <x v="1"/>
    <n v="7"/>
    <n v="4200"/>
    <s v="Unique"/>
    <n v="29400"/>
  </r>
  <r>
    <n v="1073"/>
    <d v="2025-02-08T00:00:00"/>
    <x v="0"/>
    <s v="Ananya Rao"/>
    <s v="Bluetooth Speaker"/>
    <x v="0"/>
    <n v="9"/>
    <n v="2999"/>
    <s v="Unique"/>
    <n v="26991"/>
  </r>
  <r>
    <n v="1110"/>
    <d v="2025-03-23T00:00:00"/>
    <x v="0"/>
    <s v="Ravi Kumar"/>
    <s v="Office Chair"/>
    <x v="1"/>
    <n v="4"/>
    <n v="6500"/>
    <s v="Unique"/>
    <n v="26000"/>
  </r>
  <r>
    <n v="1052"/>
    <d v="2025-03-15T00:00:00"/>
    <x v="1"/>
    <s v="Rohan Shah"/>
    <s v="Office Chair"/>
    <x v="1"/>
    <n v="4"/>
    <n v="6500"/>
    <s v="Unique"/>
    <n v="26000"/>
  </r>
  <r>
    <n v="1177"/>
    <d v="2025-04-22T00:00:00"/>
    <x v="1"/>
    <s v="Priya Mehta"/>
    <s v="Bookshelf"/>
    <x v="1"/>
    <n v="6"/>
    <n v="4200"/>
    <s v="Unique"/>
    <n v="25200"/>
  </r>
  <r>
    <n v="1021"/>
    <d v="2025-03-05T00:00:00"/>
    <x v="3"/>
    <s v="Amit Ghosh"/>
    <s v="Bluetooth Speaker"/>
    <x v="0"/>
    <n v="7"/>
    <n v="2999"/>
    <s v="Unique"/>
    <n v="20993"/>
  </r>
  <r>
    <n v="1077"/>
    <d v="2025-06-08T00:00:00"/>
    <x v="2"/>
    <s v="Divya Sharma"/>
    <s v="Office Chair"/>
    <x v="1"/>
    <n v="3"/>
    <n v="6500"/>
    <s v="Unique"/>
    <n v="19500"/>
  </r>
  <r>
    <n v="1112"/>
    <d v="2025-04-15T00:00:00"/>
    <x v="3"/>
    <s v="Amit Ghosh"/>
    <s v="27In Monitor"/>
    <x v="0"/>
    <n v="1"/>
    <n v="18500"/>
    <s v="Unique"/>
    <n v="18500"/>
  </r>
  <r>
    <n v="1080"/>
    <d v="2025-01-28T00:00:00"/>
    <x v="1"/>
    <s v="Priya Mehta"/>
    <s v="Bookshelf"/>
    <x v="1"/>
    <n v="4"/>
    <n v="4200"/>
    <s v="Unique"/>
    <n v="16800"/>
  </r>
  <r>
    <n v="1031"/>
    <d v="2025-01-29T00:00:00"/>
    <x v="3"/>
    <s v="Amit Ghosh"/>
    <s v="Standing Desk"/>
    <x v="1"/>
    <n v="1"/>
    <n v="15500"/>
    <s v="Unique"/>
    <n v="15500"/>
  </r>
  <r>
    <n v="1173"/>
    <d v="2025-01-11T00:00:00"/>
    <x v="1"/>
    <s v="Rohan Shah"/>
    <s v="Bluetooth Speaker"/>
    <x v="0"/>
    <n v="5"/>
    <n v="2999"/>
    <s v="Unique"/>
    <n v="14995"/>
  </r>
  <r>
    <n v="1118"/>
    <d v="2025-06-21T00:00:00"/>
    <x v="1"/>
    <s v="Priya Mehta"/>
    <s v="Bookshelf"/>
    <x v="1"/>
    <n v="3"/>
    <n v="4200"/>
    <s v="Unique"/>
    <n v="12600"/>
  </r>
  <r>
    <n v="1087"/>
    <d v="2025-06-05T00:00:00"/>
    <x v="0"/>
    <s v="Ananya Rao"/>
    <s v="Bluetooth Speaker"/>
    <x v="0"/>
    <n v="4"/>
    <n v="2999"/>
    <s v="Unique"/>
    <n v="11996"/>
  </r>
  <r>
    <n v="1100"/>
    <d v="2025-01-19T00:00:00"/>
    <x v="1"/>
    <s v="Rohan Shah"/>
    <s v="Bluetooth Speaker"/>
    <x v="0"/>
    <n v="4"/>
    <n v="2999"/>
    <s v="Unique"/>
    <n v="11996"/>
  </r>
  <r>
    <n v="1090"/>
    <d v="2025-06-20T00:00:00"/>
    <x v="3"/>
    <s v="Amit Ghosh"/>
    <s v="Wireless Mouse"/>
    <x v="0"/>
    <n v="12"/>
    <n v="799"/>
    <s v="Unique"/>
    <n v="9588"/>
  </r>
  <r>
    <n v="1072"/>
    <d v="2025-04-20T00:00:00"/>
    <x v="0"/>
    <s v="Ravi Kumar"/>
    <s v="Wireless Mouse"/>
    <x v="0"/>
    <n v="12"/>
    <n v="799"/>
    <s v="Unique"/>
    <n v="9588"/>
  </r>
  <r>
    <n v="1131"/>
    <d v="2025-02-20T00:00:00"/>
    <x v="0"/>
    <s v="Ravi Kumar"/>
    <s v="Wireless Mouse"/>
    <x v="0"/>
    <n v="12"/>
    <n v="799"/>
    <s v="Unique"/>
    <n v="9588"/>
  </r>
  <r>
    <n v="1149"/>
    <d v="2025-01-31T00:00:00"/>
    <x v="2"/>
    <s v="Karthik Iyer"/>
    <s v="Wireless Mouse"/>
    <x v="0"/>
    <n v="12"/>
    <n v="799"/>
    <s v="Unique"/>
    <n v="9588"/>
  </r>
  <r>
    <n v="1166"/>
    <d v="2025-03-15T00:00:00"/>
    <x v="3"/>
    <s v="Amit Ghosh"/>
    <s v="Wireless Mouse"/>
    <x v="0"/>
    <n v="11"/>
    <n v="799"/>
    <s v="Unique"/>
    <n v="8789"/>
  </r>
  <r>
    <n v="1069"/>
    <d v="2025-05-06T00:00:00"/>
    <x v="3"/>
    <s v="Sneha Das"/>
    <s v="Wireless Mouse"/>
    <x v="0"/>
    <n v="11"/>
    <n v="799"/>
    <s v="Unique"/>
    <n v="8789"/>
  </r>
  <r>
    <n v="1154"/>
    <d v="2025-05-22T00:00:00"/>
    <x v="3"/>
    <s v="Sneha Das"/>
    <s v="Bookshelf"/>
    <x v="1"/>
    <n v="2"/>
    <n v="4200"/>
    <s v="Unique"/>
    <n v="8400"/>
  </r>
  <r>
    <n v="1134"/>
    <d v="2025-03-29T00:00:00"/>
    <x v="0"/>
    <s v="Ananya Rao"/>
    <s v="Bookshelf"/>
    <x v="1"/>
    <n v="2"/>
    <n v="4200"/>
    <s v="Unique"/>
    <n v="8400"/>
  </r>
  <r>
    <n v="1157"/>
    <d v="2025-01-30T00:00:00"/>
    <x v="0"/>
    <s v="Ananya Rao"/>
    <s v="Bookshelf"/>
    <x v="1"/>
    <n v="2"/>
    <n v="4200"/>
    <s v="Unique"/>
    <n v="8400"/>
  </r>
  <r>
    <n v="1032"/>
    <d v="2025-03-03T00:00:00"/>
    <x v="0"/>
    <s v="Ravi Kumar"/>
    <s v="Bookshelf"/>
    <x v="1"/>
    <n v="2"/>
    <n v="4200"/>
    <s v="Unique"/>
    <n v="8400"/>
  </r>
  <r>
    <n v="1129"/>
    <d v="2025-01-30T00:00:00"/>
    <x v="2"/>
    <s v="Karthik Iyer"/>
    <s v="Wireless Mouse"/>
    <x v="0"/>
    <n v="10"/>
    <n v="799"/>
    <s v="Unique"/>
    <n v="7990"/>
  </r>
  <r>
    <n v="1057"/>
    <d v="2025-06-22T00:00:00"/>
    <x v="2"/>
    <s v="Karthik Iyer"/>
    <s v="Wireless Mouse"/>
    <x v="0"/>
    <n v="10"/>
    <n v="799"/>
    <s v="Unique"/>
    <n v="7990"/>
  </r>
  <r>
    <n v="1172"/>
    <d v="2025-05-19T00:00:00"/>
    <x v="1"/>
    <s v="Rohan Shah"/>
    <s v="Wireless Mouse"/>
    <x v="0"/>
    <n v="10"/>
    <n v="799"/>
    <s v="Unique"/>
    <n v="7990"/>
  </r>
  <r>
    <n v="1159"/>
    <d v="2025-03-19T00:00:00"/>
    <x v="0"/>
    <s v="Ravi Kumar"/>
    <s v="Wireless Mouse"/>
    <x v="0"/>
    <n v="9"/>
    <n v="799"/>
    <s v="Unique"/>
    <n v="7191"/>
  </r>
  <r>
    <n v="1062"/>
    <d v="2025-01-03T00:00:00"/>
    <x v="1"/>
    <s v="Priya Mehta"/>
    <s v="Wireless Mouse"/>
    <x v="0"/>
    <n v="9"/>
    <n v="799"/>
    <s v="Unique"/>
    <n v="7191"/>
  </r>
  <r>
    <n v="1170"/>
    <d v="2025-05-26T00:00:00"/>
    <x v="3"/>
    <s v="Amit Ghosh"/>
    <s v="Wireless Mouse"/>
    <x v="0"/>
    <n v="8"/>
    <n v="799"/>
    <s v="Unique"/>
    <n v="6392"/>
  </r>
  <r>
    <n v="1056"/>
    <d v="2025-01-21T00:00:00"/>
    <x v="2"/>
    <s v="Divya Sharma"/>
    <s v="Bluetooth Speaker"/>
    <x v="0"/>
    <n v="2"/>
    <n v="2999"/>
    <s v="Unique"/>
    <n v="5998"/>
  </r>
  <r>
    <n v="1111"/>
    <d v="2025-04-09T00:00:00"/>
    <x v="2"/>
    <s v="Divya Sharma"/>
    <s v="Wireless Mouse"/>
    <x v="0"/>
    <n v="7"/>
    <n v="799"/>
    <s v="Unique"/>
    <n v="5593"/>
  </r>
  <r>
    <n v="1180"/>
    <d v="2025-04-13T00:00:00"/>
    <x v="0"/>
    <s v="Ananya Rao"/>
    <s v="Wireless Mouse"/>
    <x v="0"/>
    <n v="6"/>
    <n v="799"/>
    <s v="Unique"/>
    <n v="4794"/>
  </r>
  <r>
    <n v="1037"/>
    <d v="2025-01-31T00:00:00"/>
    <x v="2"/>
    <s v="Divya Sharma"/>
    <s v="Wireless Mouse"/>
    <x v="0"/>
    <n v="6"/>
    <n v="799"/>
    <s v="Unique"/>
    <n v="4794"/>
  </r>
  <r>
    <n v="1030"/>
    <d v="2025-05-19T00:00:00"/>
    <x v="0"/>
    <s v="Ananya Rao"/>
    <s v="Bookshelf"/>
    <x v="1"/>
    <n v="1"/>
    <n v="4200"/>
    <s v="Unique"/>
    <n v="4200"/>
  </r>
  <r>
    <n v="1115"/>
    <d v="2025-03-18T00:00:00"/>
    <x v="1"/>
    <s v="Rohan Shah"/>
    <s v="Notebook Set"/>
    <x v="2"/>
    <n v="12"/>
    <n v="350"/>
    <s v="Unique"/>
    <n v="4200"/>
  </r>
  <r>
    <n v="1027"/>
    <d v="2025-03-17T00:00:00"/>
    <x v="1"/>
    <s v="Priya Mehta"/>
    <s v="Bookshelf"/>
    <x v="1"/>
    <n v="1"/>
    <n v="4200"/>
    <s v="Unique"/>
    <n v="4200"/>
  </r>
  <r>
    <n v="1144"/>
    <d v="2025-05-06T00:00:00"/>
    <x v="1"/>
    <s v="Priya Mehta"/>
    <s v="Wireless Mouse"/>
    <x v="0"/>
    <n v="5"/>
    <n v="799"/>
    <s v="Unique"/>
    <n v="3995"/>
  </r>
  <r>
    <n v="1133"/>
    <d v="2025-04-20T00:00:00"/>
    <x v="3"/>
    <s v="Sneha Das"/>
    <s v="Notebook Set"/>
    <x v="2"/>
    <n v="11"/>
    <n v="350"/>
    <s v="Unique"/>
    <n v="3850"/>
  </r>
  <r>
    <n v="1151"/>
    <d v="2025-05-04T00:00:00"/>
    <x v="3"/>
    <s v="Amit Ghosh"/>
    <s v="Wireless Mouse"/>
    <x v="0"/>
    <n v="4"/>
    <n v="799"/>
    <s v="Unique"/>
    <n v="3196"/>
  </r>
  <r>
    <n v="1097"/>
    <d v="2025-01-22T00:00:00"/>
    <x v="3"/>
    <s v="Amit Ghosh"/>
    <s v="Wireless Mouse"/>
    <x v="0"/>
    <n v="4"/>
    <n v="799"/>
    <s v="Unique"/>
    <n v="3196"/>
  </r>
  <r>
    <n v="1142"/>
    <d v="2025-03-12T00:00:00"/>
    <x v="0"/>
    <s v="Ravi Kumar"/>
    <s v="Wireless Mouse"/>
    <x v="0"/>
    <n v="4"/>
    <n v="799"/>
    <s v="Unique"/>
    <n v="3196"/>
  </r>
  <r>
    <n v="1012"/>
    <d v="2025-06-19T00:00:00"/>
    <x v="2"/>
    <s v="Karthik Iyer"/>
    <s v="Wireless Mouse"/>
    <x v="0"/>
    <n v="4"/>
    <n v="799"/>
    <s v="Unique"/>
    <n v="3196"/>
  </r>
  <r>
    <n v="1146"/>
    <d v="2025-05-29T00:00:00"/>
    <x v="3"/>
    <s v="Amit Ghosh"/>
    <s v="Notebook Set"/>
    <x v="2"/>
    <n v="9"/>
    <n v="350"/>
    <s v="Unique"/>
    <n v="3150"/>
  </r>
  <r>
    <n v="1036"/>
    <d v="2025-06-16T00:00:00"/>
    <x v="3"/>
    <s v="Amit Ghosh"/>
    <s v="Notebook Set"/>
    <x v="2"/>
    <n v="8"/>
    <n v="350"/>
    <s v="Unique"/>
    <n v="2800"/>
  </r>
  <r>
    <n v="1022"/>
    <d v="2025-04-03T00:00:00"/>
    <x v="2"/>
    <s v="Divya Sharma"/>
    <s v="Notebook Set"/>
    <x v="2"/>
    <n v="8"/>
    <n v="350"/>
    <s v="Unique"/>
    <n v="2800"/>
  </r>
  <r>
    <n v="1040"/>
    <d v="2025-03-26T00:00:00"/>
    <x v="0"/>
    <s v="Ravi Kumar"/>
    <s v="A4 Paper Ream"/>
    <x v="2"/>
    <n v="11"/>
    <n v="250"/>
    <s v="Unique"/>
    <n v="2750"/>
  </r>
  <r>
    <n v="1028"/>
    <d v="2025-03-09T00:00:00"/>
    <x v="2"/>
    <s v="Divya Sharma"/>
    <s v="A4 Paper Ream"/>
    <x v="2"/>
    <n v="11"/>
    <n v="250"/>
    <s v="Unique"/>
    <n v="2750"/>
  </r>
  <r>
    <n v="1145"/>
    <d v="2025-02-26T00:00:00"/>
    <x v="1"/>
    <s v="Priya Mehta"/>
    <s v="A4 Paper Ream"/>
    <x v="2"/>
    <n v="11"/>
    <n v="250"/>
    <s v="Unique"/>
    <n v="2750"/>
  </r>
  <r>
    <n v="1179"/>
    <d v="2025-03-26T00:00:00"/>
    <x v="1"/>
    <s v="Rohan Shah"/>
    <s v="A4 Paper Ream"/>
    <x v="2"/>
    <n v="11"/>
    <n v="250"/>
    <s v="Unique"/>
    <n v="2750"/>
  </r>
  <r>
    <n v="1169"/>
    <d v="2025-01-19T00:00:00"/>
    <x v="0"/>
    <s v="Ravi Kumar"/>
    <s v="A4 Paper Ream"/>
    <x v="2"/>
    <n v="10"/>
    <n v="250"/>
    <s v="Unique"/>
    <n v="2500"/>
  </r>
  <r>
    <n v="1067"/>
    <d v="2025-01-28T00:00:00"/>
    <x v="2"/>
    <s v="Karthik Iyer"/>
    <s v="A4 Paper Ream"/>
    <x v="2"/>
    <n v="10"/>
    <n v="250"/>
    <s v="Unique"/>
    <n v="2500"/>
  </r>
  <r>
    <n v="1076"/>
    <d v="2025-03-05T00:00:00"/>
    <x v="0"/>
    <s v="Ananya Rao"/>
    <s v="Notebook Set"/>
    <x v="2"/>
    <n v="7"/>
    <n v="350"/>
    <s v="Unique"/>
    <n v="2450"/>
  </r>
  <r>
    <n v="1178"/>
    <d v="2025-04-15T00:00:00"/>
    <x v="3"/>
    <s v="Amit Ghosh"/>
    <s v="Wireless Mouse"/>
    <x v="0"/>
    <n v="3"/>
    <n v="799"/>
    <s v="Unique"/>
    <n v="2397"/>
  </r>
  <r>
    <n v="1171"/>
    <d v="2025-06-26T00:00:00"/>
    <x v="3"/>
    <s v="Amit Ghosh"/>
    <s v="A4 Paper Ream"/>
    <x v="2"/>
    <n v="9"/>
    <n v="250"/>
    <s v="Unique"/>
    <n v="2250"/>
  </r>
  <r>
    <n v="1068"/>
    <d v="2025-02-23T00:00:00"/>
    <x v="3"/>
    <s v="Sneha Das"/>
    <s v="A4 Paper Ream"/>
    <x v="2"/>
    <n v="9"/>
    <n v="250"/>
    <s v="Unique"/>
    <n v="2250"/>
  </r>
  <r>
    <n v="1051"/>
    <d v="2025-04-08T00:00:00"/>
    <x v="0"/>
    <s v="Ananya Rao"/>
    <s v="A4 Paper Ream"/>
    <x v="2"/>
    <n v="8"/>
    <n v="250"/>
    <s v="Unique"/>
    <n v="2000"/>
  </r>
  <r>
    <n v="1156"/>
    <d v="2025-03-29T00:00:00"/>
    <x v="2"/>
    <s v="Divya Sharma"/>
    <s v="A4 Paper Ream"/>
    <x v="2"/>
    <n v="8"/>
    <n v="250"/>
    <s v="Unique"/>
    <n v="2000"/>
  </r>
  <r>
    <n v="1108"/>
    <d v="2025-03-12T00:00:00"/>
    <x v="1"/>
    <s v="Priya Mehta"/>
    <s v="A4 Paper Ream"/>
    <x v="2"/>
    <n v="8"/>
    <n v="250"/>
    <s v="Unique"/>
    <n v="2000"/>
  </r>
  <r>
    <n v="1065"/>
    <d v="2025-05-20T00:00:00"/>
    <x v="3"/>
    <s v="Sneha Das"/>
    <s v="Notebook Set"/>
    <x v="2"/>
    <n v="5"/>
    <n v="350"/>
    <s v="Unique"/>
    <n v="1750"/>
  </r>
  <r>
    <n v="1121"/>
    <d v="2025-04-29T00:00:00"/>
    <x v="2"/>
    <s v="Divya Sharma"/>
    <s v="A4 Paper Ream"/>
    <x v="2"/>
    <n v="7"/>
    <n v="250"/>
    <s v="Unique"/>
    <n v="1750"/>
  </r>
  <r>
    <n v="1010"/>
    <d v="2025-02-01T00:00:00"/>
    <x v="1"/>
    <s v="Priya Mehta"/>
    <s v="Notebook Set"/>
    <x v="2"/>
    <n v="5"/>
    <n v="350"/>
    <s v="Unique"/>
    <n v="1750"/>
  </r>
  <r>
    <n v="1109"/>
    <d v="2025-01-20T00:00:00"/>
    <x v="3"/>
    <s v="Sneha Das"/>
    <s v="A4 Paper Ream"/>
    <x v="2"/>
    <n v="6"/>
    <n v="250"/>
    <s v="Unique"/>
    <n v="1500"/>
  </r>
  <r>
    <n v="1147"/>
    <d v="2025-03-30T00:00:00"/>
    <x v="1"/>
    <s v="Rohan Shah"/>
    <s v="Gel Pen Pack"/>
    <x v="2"/>
    <n v="12"/>
    <n v="120"/>
    <s v="Unique"/>
    <n v="1440"/>
  </r>
  <r>
    <n v="1004"/>
    <d v="2025-02-25T00:00:00"/>
    <x v="2"/>
    <s v="Divya Sharma"/>
    <s v="Notebook Set"/>
    <x v="2"/>
    <n v="4"/>
    <n v="350"/>
    <s v="Unique"/>
    <n v="1400"/>
  </r>
  <r>
    <n v="1103"/>
    <d v="2025-02-15T00:00:00"/>
    <x v="1"/>
    <s v="Priya Mehta"/>
    <s v="Notebook Set"/>
    <x v="2"/>
    <n v="4"/>
    <n v="350"/>
    <s v="Unique"/>
    <n v="1400"/>
  </r>
  <r>
    <n v="1083"/>
    <d v="2025-03-13T00:00:00"/>
    <x v="0"/>
    <s v="Ananya Rao"/>
    <s v="Gel Pen Pack"/>
    <x v="2"/>
    <n v="11"/>
    <n v="120"/>
    <s v="Unique"/>
    <n v="1320"/>
  </r>
  <r>
    <n v="1094"/>
    <d v="2025-03-19T00:00:00"/>
    <x v="1"/>
    <s v="Priya Mehta"/>
    <s v="A4 Paper Ream"/>
    <x v="2"/>
    <n v="5"/>
    <n v="250"/>
    <s v="Unique"/>
    <n v="1250"/>
  </r>
  <r>
    <n v="1132"/>
    <d v="2025-03-19T00:00:00"/>
    <x v="0"/>
    <s v="Ravi Kumar"/>
    <s v="Gel Pen Pack"/>
    <x v="2"/>
    <n v="9"/>
    <n v="120"/>
    <s v="Unique"/>
    <n v="1080"/>
  </r>
  <r>
    <n v="1148"/>
    <d v="2025-04-27T00:00:00"/>
    <x v="3"/>
    <s v="Amit Ghosh"/>
    <s v="A4 Paper Ream"/>
    <x v="2"/>
    <n v="4"/>
    <n v="250"/>
    <s v="Unique"/>
    <n v="1000"/>
  </r>
  <r>
    <n v="1081"/>
    <d v="2025-02-21T00:00:00"/>
    <x v="1"/>
    <s v="Rohan Shah"/>
    <s v="A4 Paper Ream"/>
    <x v="2"/>
    <n v="4"/>
    <n v="250"/>
    <s v="Unique"/>
    <n v="1000"/>
  </r>
  <r>
    <n v="1091"/>
    <d v="2025-03-18T00:00:00"/>
    <x v="3"/>
    <s v="Amit Ghosh"/>
    <s v="Gel Pen Pack"/>
    <x v="2"/>
    <n v="7"/>
    <n v="120"/>
    <s v="Unique"/>
    <n v="840"/>
  </r>
  <r>
    <n v="1078"/>
    <d v="2025-04-16T00:00:00"/>
    <x v="0"/>
    <s v="Ravi Kumar"/>
    <s v="Gel Pen Pack"/>
    <x v="2"/>
    <n v="7"/>
    <n v="120"/>
    <s v="Unique"/>
    <n v="840"/>
  </r>
  <r>
    <n v="1043"/>
    <d v="2025-01-25T00:00:00"/>
    <x v="0"/>
    <s v="Ananya Rao"/>
    <s v="Gel Pen Pack"/>
    <x v="2"/>
    <n v="7"/>
    <n v="120"/>
    <s v="Unique"/>
    <n v="840"/>
  </r>
  <r>
    <n v="1086"/>
    <d v="2025-06-02T00:00:00"/>
    <x v="1"/>
    <s v="Rohan Shah"/>
    <s v="Gel Pen Pack"/>
    <x v="2"/>
    <n v="7"/>
    <n v="120"/>
    <s v="Unique"/>
    <n v="840"/>
  </r>
  <r>
    <n v="1011"/>
    <d v="2025-06-10T00:00:00"/>
    <x v="3"/>
    <s v="Sneha Das"/>
    <s v="Wireless Mouse"/>
    <x v="0"/>
    <n v="1"/>
    <n v="799"/>
    <s v="Unique"/>
    <n v="799"/>
  </r>
  <r>
    <n v="1039"/>
    <d v="2025-06-11T00:00:00"/>
    <x v="0"/>
    <s v="Ravi Kumar"/>
    <s v="Wireless Mouse"/>
    <x v="0"/>
    <n v="1"/>
    <n v="799"/>
    <s v="Unique"/>
    <n v="799"/>
  </r>
  <r>
    <n v="1044"/>
    <d v="2025-04-16T00:00:00"/>
    <x v="1"/>
    <s v="Priya Mehta"/>
    <s v="Wireless Mouse"/>
    <x v="0"/>
    <n v="1"/>
    <n v="799"/>
    <s v="Unique"/>
    <n v="799"/>
  </r>
  <r>
    <n v="1168"/>
    <d v="2025-05-20T00:00:00"/>
    <x v="2"/>
    <s v="Divya Sharma"/>
    <s v="A4 Paper Ream"/>
    <x v="2"/>
    <n v="3"/>
    <n v="250"/>
    <s v="Unique"/>
    <n v="750"/>
  </r>
  <r>
    <n v="1020"/>
    <d v="2025-06-14T00:00:00"/>
    <x v="1"/>
    <s v="Priya Mehta"/>
    <s v="A4 Paper Ream"/>
    <x v="2"/>
    <n v="3"/>
    <n v="250"/>
    <s v="Unique"/>
    <n v="750"/>
  </r>
  <r>
    <n v="1122"/>
    <d v="2025-03-25T00:00:00"/>
    <x v="2"/>
    <s v="Karthik Iyer"/>
    <s v="Gel Pen Pack"/>
    <x v="2"/>
    <n v="6"/>
    <n v="120"/>
    <s v="Unique"/>
    <n v="720"/>
  </r>
  <r>
    <n v="1008"/>
    <d v="2025-01-24T00:00:00"/>
    <x v="1"/>
    <s v="Priya Mehta"/>
    <s v="Gel Pen Pack"/>
    <x v="2"/>
    <n v="6"/>
    <n v="120"/>
    <s v="Unique"/>
    <n v="720"/>
  </r>
  <r>
    <n v="1002"/>
    <d v="2025-02-27T00:00:00"/>
    <x v="2"/>
    <s v="Divya Sharma"/>
    <s v="Notebook Set"/>
    <x v="2"/>
    <n v="2"/>
    <n v="350"/>
    <s v="Unique"/>
    <n v="700"/>
  </r>
  <r>
    <n v="1123"/>
    <d v="2025-04-08T00:00:00"/>
    <x v="3"/>
    <s v="Amit Ghosh"/>
    <s v="A4 Paper Ream"/>
    <x v="2"/>
    <n v="2"/>
    <n v="250"/>
    <s v="Unique"/>
    <n v="500"/>
  </r>
  <r>
    <n v="1018"/>
    <d v="2025-01-09T00:00:00"/>
    <x v="3"/>
    <s v="Amit Ghosh"/>
    <s v="A4 Paper Ream"/>
    <x v="2"/>
    <n v="2"/>
    <n v="250"/>
    <s v="Unique"/>
    <n v="500"/>
  </r>
  <r>
    <n v="1066"/>
    <d v="2025-06-19T00:00:00"/>
    <x v="0"/>
    <s v="Ravi Kumar"/>
    <s v="A4 Paper Ream"/>
    <x v="2"/>
    <n v="2"/>
    <n v="250"/>
    <s v="Unique"/>
    <n v="500"/>
  </r>
  <r>
    <n v="1124"/>
    <d v="2025-05-01T00:00:00"/>
    <x v="0"/>
    <s v="Ravi Kumar"/>
    <s v="Gel Pen Pack"/>
    <x v="2"/>
    <n v="4"/>
    <n v="120"/>
    <s v="Unique"/>
    <n v="480"/>
  </r>
  <r>
    <n v="1014"/>
    <d v="2025-04-04T00:00:00"/>
    <x v="2"/>
    <s v="Karthik Iyer"/>
    <s v="Gel Pen Pack"/>
    <x v="2"/>
    <n v="4"/>
    <n v="120"/>
    <s v="Unique"/>
    <n v="480"/>
  </r>
  <r>
    <n v="1029"/>
    <d v="2025-05-10T00:00:00"/>
    <x v="2"/>
    <s v="Divya Sharma"/>
    <s v="Gel Pen Pack"/>
    <x v="2"/>
    <n v="3"/>
    <n v="120"/>
    <s v="Unique"/>
    <n v="360"/>
  </r>
  <r>
    <n v="1048"/>
    <d v="2025-05-21T00:00:00"/>
    <x v="0"/>
    <s v="Ravi Kumar"/>
    <s v="Notebook Set"/>
    <x v="2"/>
    <n v="1"/>
    <n v="350"/>
    <s v="Unique"/>
    <n v="350"/>
  </r>
  <r>
    <n v="1025"/>
    <d v="2025-06-02T00:00:00"/>
    <x v="1"/>
    <s v="Rohan Shah"/>
    <s v="Notebook Set"/>
    <x v="2"/>
    <n v="1"/>
    <n v="350"/>
    <s v="Unique"/>
    <n v="350"/>
  </r>
  <r>
    <n v="1061"/>
    <d v="2025-06-21T00:00:00"/>
    <x v="3"/>
    <s v="Amit Ghosh"/>
    <s v="Gel Pen Pack"/>
    <x v="2"/>
    <n v="2"/>
    <n v="120"/>
    <s v="Unique"/>
    <n v="240"/>
  </r>
  <r>
    <n v="1063"/>
    <d v="2025-02-24T00:00:00"/>
    <x v="3"/>
    <s v="Sneha Das"/>
    <s v="Gel Pen Pack"/>
    <x v="2"/>
    <n v="2"/>
    <n v="120"/>
    <s v="Unique"/>
    <n v="240"/>
  </r>
  <r>
    <n v="1026"/>
    <d v="2025-06-24T00:00:00"/>
    <x v="0"/>
    <s v="Ananya Rao"/>
    <s v="Gel Pen Pack"/>
    <x v="2"/>
    <n v="2"/>
    <n v="120"/>
    <s v="Unique"/>
    <n v="240"/>
  </r>
  <r>
    <n v="1007"/>
    <d v="2025-03-13T00:00:00"/>
    <x v="2"/>
    <s v="Divya Sharma"/>
    <s v="Gel Pen Pack"/>
    <x v="2"/>
    <n v="2"/>
    <n v="120"/>
    <s v="Unique"/>
    <n v="240"/>
  </r>
  <r>
    <n v="1162"/>
    <d v="2025-01-16T00:00:00"/>
    <x v="0"/>
    <s v="Ravi Kumar"/>
    <s v="Standing Desk"/>
    <x v="1"/>
    <n v="0"/>
    <n v="15500"/>
    <s v="Unique"/>
    <n v="0"/>
  </r>
  <r>
    <n v="1001"/>
    <d v="2025-06-13T00:00:00"/>
    <x v="0"/>
    <s v="Ravi Kumar"/>
    <s v="A4 Paper Ream"/>
    <x v="2"/>
    <n v="0"/>
    <n v="250"/>
    <s v="Unique"/>
    <n v="0"/>
  </r>
  <r>
    <n v="1116"/>
    <d v="2025-05-20T00:00:00"/>
    <x v="2"/>
    <s v="Karthik Iyer"/>
    <s v="Standing Desk"/>
    <x v="1"/>
    <n v="0"/>
    <n v="15500"/>
    <s v="Unique"/>
    <n v="0"/>
  </r>
  <r>
    <n v="1070"/>
    <d v="2025-04-19T00:00:00"/>
    <x v="3"/>
    <s v="Sneha Das"/>
    <s v="Laptop Pro 14"/>
    <x v="0"/>
    <n v="0"/>
    <n v="68000"/>
    <s v="Unique"/>
    <n v="0"/>
  </r>
  <r>
    <n v="1047"/>
    <d v="2025-03-13T00:00:00"/>
    <x v="1"/>
    <s v="Priya Mehta"/>
    <s v="Wireless Mouse"/>
    <x v="0"/>
    <n v="0"/>
    <n v="799"/>
    <s v="Unique"/>
    <n v="0"/>
  </r>
  <r>
    <n v="1093"/>
    <d v="2025-06-20T00:00:00"/>
    <x v="1"/>
    <s v="Priya Mehta"/>
    <s v="Bluetooth Speaker"/>
    <x v="0"/>
    <n v="0"/>
    <n v="2999"/>
    <s v="Unique"/>
    <n v="0"/>
  </r>
  <r>
    <n v="1024"/>
    <d v="2025-02-10T00:00:00"/>
    <x v="1"/>
    <s v="Priya Mehta"/>
    <s v="27In Monitor"/>
    <x v="0"/>
    <n v="0"/>
    <n v="18500"/>
    <s v="Unique"/>
    <n v="0"/>
  </r>
  <r>
    <n v="1139"/>
    <d v="2025-06-06T00:00:00"/>
    <x v="1"/>
    <s v="Rohan Shah"/>
    <s v="Laptop Pro 14"/>
    <x v="0"/>
    <n v="0"/>
    <n v="68000"/>
    <s v="Unique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B6DF8-299A-4CA0-9A0F-BFA615A8AE5E}" name="PivotTable10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10">
    <pivotField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3"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94394-6C31-4B64-9BFE-40EC51B69278}" name="PivotTable9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s">
  <location ref="A19:B26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0" baseField="0" baseItem="0" numFmtId="3"/>
  </dataFields>
  <formats count="1">
    <format dxfId="3">
      <pivotArea outline="0" collapsedLevelsAreSubtotals="1" fieldPosition="0"/>
    </format>
  </formats>
  <chartFormats count="7"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ctice_SalesData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4D658-A971-4D03-934E-A1611814ACCE}" name="PivotTable5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ory">
  <location ref="A13:B17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3"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5" baseItem="0" numFmtId="3"/>
  </dataFields>
  <formats count="1">
    <format dxfId="4">
      <pivotArea outline="0" collapsedLevelsAreSubtotals="1" fieldPosition="0"/>
    </format>
  </formats>
  <chartFormats count="4"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F3ED8-6C29-49A1-B7AB-A906F15B5D4C}" name="PivotTable4" cacheId="15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 rowHeaderCaption="Sales Persons" colHeaderCaption="Region">
  <location ref="H3:I12" firstHeaderRow="1" firstDataRow="1" firstDataCol="1"/>
  <pivotFields count="3">
    <pivotField axis="axisRow" allDrilled="1" outline="0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sortType="ascending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ales" fld="1" baseField="0" baseItem="0"/>
  </dataFields>
  <formats count="1">
    <format dxfId="8">
      <pivotArea outline="0" collapsedLevelsAreSubtotals="1" fieldPosition="0">
        <references count="1">
          <reference field="0" count="0" selected="0"/>
        </references>
      </pivotArea>
    </format>
  </formats>
  <chartFormats count="1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ctice_SalesData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487BA-0B94-4140-A481-D005159B6AB7}" name="PivotTable3" cacheId="15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 rowHeaderCaption="Region" colHeaderCaption="Category">
  <location ref="A3:E9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3" name="[Table2].[Sales Person].[All]" cap="All"/>
  </pageFields>
  <dataFields count="1">
    <dataField name="Sales" fld="1" baseField="0" baseItem="0"/>
  </dataFields>
  <formats count="2">
    <format dxfId="6">
      <pivotArea grandCol="1" outline="0" collapsedLevelsAreSubtotals="1" fieldPosition="0"/>
    </format>
    <format dxfId="5">
      <pivotArea outline="0" collapsedLevelsAreSubtotals="1" fieldPosition="0">
        <references count="1">
          <reference field="2" count="0" selected="0"/>
        </references>
      </pivotArea>
    </format>
  </formats>
  <chartFormats count="3"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 caption="NO OF IDS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ctice_SalesData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E4B62B-F540-4725-A94E-55B2A55BCCB8}" name="Table2" displayName="Table2" ref="A1:J181" totalsRowShown="0" headerRowDxfId="16" tableBorderDxfId="19">
  <autoFilter ref="A1:J181" xr:uid="{38E4B62B-F540-4725-A94E-55B2A55BCCB8}"/>
  <sortState xmlns:xlrd2="http://schemas.microsoft.com/office/spreadsheetml/2017/richdata2" ref="A2:I181">
    <sortCondition descending="1" ref="I1:I181"/>
  </sortState>
  <tableColumns count="10">
    <tableColumn id="1" xr3:uid="{B6F30D66-365D-419E-A0E7-BF6C80010D36}" name="OrderID" dataDxfId="18"/>
    <tableColumn id="2" xr3:uid="{56713E04-53E6-45C4-9C1D-570A5384E624}" name="OrderDate" dataDxfId="14"/>
    <tableColumn id="3" xr3:uid="{F4DE9B6D-A826-4CF1-8483-5385DB15A307}" name="Region Clean">
      <calculatedColumnFormula>PROPER(TRIM(Sales_Data!C2))</calculatedColumnFormula>
    </tableColumn>
    <tableColumn id="4" xr3:uid="{616E86D0-3537-4DCC-BA2C-F70BB4CE551A}" name="Sales Person">
      <calculatedColumnFormula>PROPER(TRIM(Sales_Data!D2))</calculatedColumnFormula>
    </tableColumn>
    <tableColumn id="5" xr3:uid="{EFD5C7F3-127E-424F-88F7-205C574ABA25}" name="Product">
      <calculatedColumnFormula>PROPER(TRIM(Sales_Data!E2))</calculatedColumnFormula>
    </tableColumn>
    <tableColumn id="6" xr3:uid="{8E595829-1DD0-4110-8732-0C851B4B37F8}" name="Category">
      <calculatedColumnFormula>PROPER(TRIM(Sales_Data!F2))</calculatedColumnFormula>
    </tableColumn>
    <tableColumn id="7" xr3:uid="{3E1F096F-0E23-462A-9923-F639277A1B5A}" name="Units">
      <calculatedColumnFormula>IF(Sales_Data!G2=" ",0,Sales_Data!G2)</calculatedColumnFormula>
    </tableColumn>
    <tableColumn id="8" xr3:uid="{3A470C5A-EF85-4191-AFD6-3ED9CE13EDD4}" name="Unit Price" dataDxfId="17">
      <calculatedColumnFormula>Sales_Data!H2</calculatedColumnFormula>
    </tableColumn>
    <tableColumn id="10" xr3:uid="{C48DE9E2-DA9B-45B9-9FC7-C001689AD414}" name="Sales" dataDxfId="15">
      <calculatedColumnFormula>Table2[[#This Row],[Units]]*Table2[[#This Row],[Unit Price]]</calculatedColumnFormula>
    </tableColumn>
    <tableColumn id="11" xr3:uid="{6D000CBE-EE39-420D-8E14-3C8A8B2523B5}" name="Manager" dataDxfId="9">
      <calculatedColumnFormula>_xlfn.XLOOKUP(Table2[[#This Row],[Region Clean]],Table4[Region],Table4[Manager])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58B36-C9E4-4D6D-83EF-8AF1318C40CE}" name="Table4" displayName="Table4" ref="A1:B5" totalsRowShown="0" headerRowDxfId="10" dataDxfId="11">
  <autoFilter ref="A1:B5" xr:uid="{75A58B36-C9E4-4D6D-83EF-8AF1318C40CE}"/>
  <tableColumns count="2">
    <tableColumn id="1" xr3:uid="{69506DA4-F9FB-4480-857B-CB957E26A3B5}" name="Region" dataDxfId="13"/>
    <tableColumn id="2" xr3:uid="{84E03E09-005C-49CA-A3DB-1F1AE7209B02}" name="Manager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opLeftCell="E1" workbookViewId="0">
      <pane ySplit="1" topLeftCell="A167" activePane="bottomLeft" state="frozen"/>
      <selection pane="bottomLeft" activeCell="J1" sqref="J1:P184"/>
    </sheetView>
  </sheetViews>
  <sheetFormatPr defaultRowHeight="14.5" x14ac:dyDescent="0.35"/>
  <cols>
    <col min="1" max="1" width="10" customWidth="1"/>
    <col min="2" max="2" width="13" customWidth="1"/>
    <col min="3" max="3" width="12" customWidth="1"/>
    <col min="4" max="4" width="18" customWidth="1"/>
    <col min="5" max="5" width="20" customWidth="1"/>
    <col min="6" max="6" width="14" customWidth="1"/>
    <col min="7" max="7" width="9" customWidth="1"/>
    <col min="8" max="8" width="12" customWidth="1"/>
    <col min="10" max="10" width="13.26953125" bestFit="1" customWidth="1"/>
    <col min="11" max="11" width="13.1796875" bestFit="1" customWidth="1"/>
    <col min="12" max="12" width="16.1796875" bestFit="1" customWidth="1"/>
    <col min="13" max="13" width="9.7265625" bestFit="1" customWidth="1"/>
    <col min="15" max="15" width="8.7265625" customWidth="1"/>
    <col min="16" max="16" width="17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1023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11</v>
      </c>
      <c r="H2" s="4">
        <v>6500</v>
      </c>
    </row>
    <row r="3" spans="1:8" x14ac:dyDescent="0.35">
      <c r="A3" s="2">
        <v>1134</v>
      </c>
      <c r="B3" s="3" t="s">
        <v>13</v>
      </c>
      <c r="C3" s="2" t="s">
        <v>9</v>
      </c>
      <c r="D3" s="2" t="s">
        <v>14</v>
      </c>
      <c r="E3" s="2" t="s">
        <v>15</v>
      </c>
      <c r="F3" s="2" t="s">
        <v>12</v>
      </c>
      <c r="G3" s="2">
        <v>2</v>
      </c>
      <c r="H3" s="4">
        <v>4200</v>
      </c>
    </row>
    <row r="4" spans="1:8" x14ac:dyDescent="0.35">
      <c r="A4" s="2">
        <v>1115</v>
      </c>
      <c r="B4" s="3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12</v>
      </c>
      <c r="H4" s="4">
        <v>350</v>
      </c>
    </row>
    <row r="5" spans="1:8" x14ac:dyDescent="0.35">
      <c r="A5" s="2">
        <v>1077</v>
      </c>
      <c r="B5" s="3" t="s">
        <v>21</v>
      </c>
      <c r="C5" s="2" t="s">
        <v>22</v>
      </c>
      <c r="D5" s="2" t="s">
        <v>23</v>
      </c>
      <c r="E5" s="2" t="s">
        <v>11</v>
      </c>
      <c r="F5" s="2" t="s">
        <v>12</v>
      </c>
      <c r="G5" s="2">
        <v>3</v>
      </c>
      <c r="H5" s="4">
        <v>6500</v>
      </c>
    </row>
    <row r="6" spans="1:8" x14ac:dyDescent="0.35">
      <c r="A6" s="2">
        <v>1009</v>
      </c>
      <c r="B6" s="3" t="s">
        <v>24</v>
      </c>
      <c r="C6" s="2" t="s">
        <v>25</v>
      </c>
      <c r="D6" s="2" t="s">
        <v>26</v>
      </c>
      <c r="E6" s="2" t="s">
        <v>15</v>
      </c>
      <c r="F6" s="2" t="s">
        <v>12</v>
      </c>
      <c r="G6" s="2">
        <v>9</v>
      </c>
      <c r="H6" s="4">
        <v>4200</v>
      </c>
    </row>
    <row r="7" spans="1:8" x14ac:dyDescent="0.35">
      <c r="A7" s="2">
        <v>1118</v>
      </c>
      <c r="B7" s="3" t="s">
        <v>27</v>
      </c>
      <c r="C7" s="2" t="s">
        <v>28</v>
      </c>
      <c r="D7" s="2" t="s">
        <v>29</v>
      </c>
      <c r="E7" s="2" t="s">
        <v>15</v>
      </c>
      <c r="F7" s="2" t="s">
        <v>30</v>
      </c>
      <c r="G7" s="2">
        <v>3</v>
      </c>
      <c r="H7" s="4">
        <v>4200</v>
      </c>
    </row>
    <row r="8" spans="1:8" x14ac:dyDescent="0.35">
      <c r="A8" s="2">
        <v>1149</v>
      </c>
      <c r="B8" s="3" t="s">
        <v>31</v>
      </c>
      <c r="C8" s="2" t="s">
        <v>22</v>
      </c>
      <c r="D8" s="2" t="s">
        <v>32</v>
      </c>
      <c r="E8" s="2" t="s">
        <v>33</v>
      </c>
      <c r="F8" s="2" t="s">
        <v>34</v>
      </c>
      <c r="G8" s="2">
        <v>12</v>
      </c>
      <c r="H8" s="4">
        <v>799</v>
      </c>
    </row>
    <row r="9" spans="1:8" x14ac:dyDescent="0.35">
      <c r="A9" s="2">
        <v>1158</v>
      </c>
      <c r="B9" s="3" t="s">
        <v>35</v>
      </c>
      <c r="C9" s="2" t="s">
        <v>9</v>
      </c>
      <c r="D9" s="2" t="s">
        <v>36</v>
      </c>
      <c r="E9" s="2" t="s">
        <v>11</v>
      </c>
      <c r="F9" s="2" t="s">
        <v>12</v>
      </c>
      <c r="G9" s="2">
        <v>10</v>
      </c>
      <c r="H9" s="4">
        <v>6500</v>
      </c>
    </row>
    <row r="10" spans="1:8" x14ac:dyDescent="0.35">
      <c r="A10" s="2">
        <v>1111</v>
      </c>
      <c r="B10" s="3" t="s">
        <v>37</v>
      </c>
      <c r="C10" s="2" t="s">
        <v>22</v>
      </c>
      <c r="D10" s="2" t="s">
        <v>38</v>
      </c>
      <c r="E10" s="2" t="s">
        <v>33</v>
      </c>
      <c r="F10" s="2" t="s">
        <v>34</v>
      </c>
      <c r="G10" s="2">
        <v>7</v>
      </c>
      <c r="H10" s="4">
        <v>799</v>
      </c>
    </row>
    <row r="11" spans="1:8" x14ac:dyDescent="0.35">
      <c r="A11" s="2">
        <v>1151</v>
      </c>
      <c r="B11" s="3" t="s">
        <v>39</v>
      </c>
      <c r="C11" s="2" t="s">
        <v>25</v>
      </c>
      <c r="D11" s="2" t="s">
        <v>40</v>
      </c>
      <c r="E11" s="2" t="s">
        <v>33</v>
      </c>
      <c r="F11" s="2" t="s">
        <v>34</v>
      </c>
      <c r="G11" s="2">
        <v>4</v>
      </c>
      <c r="H11" s="4">
        <v>799</v>
      </c>
    </row>
    <row r="12" spans="1:8" x14ac:dyDescent="0.35">
      <c r="A12" s="2">
        <v>1091</v>
      </c>
      <c r="B12" s="3" t="s">
        <v>16</v>
      </c>
      <c r="C12" s="2" t="s">
        <v>41</v>
      </c>
      <c r="D12" s="2" t="s">
        <v>40</v>
      </c>
      <c r="E12" s="2" t="s">
        <v>42</v>
      </c>
      <c r="F12" s="2" t="s">
        <v>20</v>
      </c>
      <c r="G12" s="2">
        <v>7</v>
      </c>
      <c r="H12" s="4">
        <v>120</v>
      </c>
    </row>
    <row r="13" spans="1:8" x14ac:dyDescent="0.35">
      <c r="A13" s="2">
        <v>1033</v>
      </c>
      <c r="B13" s="3" t="s">
        <v>43</v>
      </c>
      <c r="C13" s="2" t="s">
        <v>22</v>
      </c>
      <c r="D13" s="2" t="s">
        <v>23</v>
      </c>
      <c r="E13" s="2" t="s">
        <v>15</v>
      </c>
      <c r="F13" s="2" t="s">
        <v>12</v>
      </c>
      <c r="G13" s="2">
        <v>9</v>
      </c>
      <c r="H13" s="4">
        <v>4200</v>
      </c>
    </row>
    <row r="14" spans="1:8" x14ac:dyDescent="0.35">
      <c r="A14" s="2">
        <v>1036</v>
      </c>
      <c r="B14" s="3" t="s">
        <v>44</v>
      </c>
      <c r="C14" s="2" t="s">
        <v>25</v>
      </c>
      <c r="D14" s="2" t="s">
        <v>40</v>
      </c>
      <c r="E14" s="2" t="s">
        <v>19</v>
      </c>
      <c r="F14" s="2" t="s">
        <v>20</v>
      </c>
      <c r="G14" s="2">
        <v>8</v>
      </c>
      <c r="H14" s="4">
        <v>350</v>
      </c>
    </row>
    <row r="15" spans="1:8" x14ac:dyDescent="0.35">
      <c r="A15" s="2">
        <v>1027</v>
      </c>
      <c r="B15" s="3" t="s">
        <v>45</v>
      </c>
      <c r="C15" s="2" t="s">
        <v>17</v>
      </c>
      <c r="D15" s="2" t="s">
        <v>29</v>
      </c>
      <c r="E15" s="2" t="s">
        <v>15</v>
      </c>
      <c r="F15" s="2" t="s">
        <v>30</v>
      </c>
      <c r="G15" s="2">
        <v>1</v>
      </c>
      <c r="H15" s="4">
        <v>4200</v>
      </c>
    </row>
    <row r="16" spans="1:8" x14ac:dyDescent="0.35">
      <c r="A16" s="2">
        <v>1171</v>
      </c>
      <c r="B16" s="3" t="s">
        <v>46</v>
      </c>
      <c r="C16" s="2" t="s">
        <v>25</v>
      </c>
      <c r="D16" s="2" t="s">
        <v>40</v>
      </c>
      <c r="E16" s="2" t="s">
        <v>47</v>
      </c>
      <c r="F16" s="2" t="s">
        <v>20</v>
      </c>
      <c r="G16" s="2">
        <v>9</v>
      </c>
      <c r="H16" s="4">
        <v>250</v>
      </c>
    </row>
    <row r="17" spans="1:8" x14ac:dyDescent="0.35">
      <c r="A17" s="2">
        <v>1052</v>
      </c>
      <c r="B17" s="3" t="s">
        <v>48</v>
      </c>
      <c r="C17" s="2" t="s">
        <v>17</v>
      </c>
      <c r="D17" s="2" t="s">
        <v>18</v>
      </c>
      <c r="E17" s="2" t="s">
        <v>49</v>
      </c>
      <c r="F17" s="2" t="s">
        <v>12</v>
      </c>
      <c r="G17" s="2">
        <v>4</v>
      </c>
      <c r="H17" s="4">
        <v>6500</v>
      </c>
    </row>
    <row r="18" spans="1:8" x14ac:dyDescent="0.35">
      <c r="A18" s="2">
        <v>1129</v>
      </c>
      <c r="B18" s="3" t="s">
        <v>50</v>
      </c>
      <c r="C18" s="2" t="s">
        <v>22</v>
      </c>
      <c r="D18" s="2" t="s">
        <v>32</v>
      </c>
      <c r="E18" s="2" t="s">
        <v>33</v>
      </c>
      <c r="F18" s="2" t="s">
        <v>34</v>
      </c>
      <c r="G18" s="2">
        <v>10</v>
      </c>
      <c r="H18" s="4">
        <v>799</v>
      </c>
    </row>
    <row r="19" spans="1:8" x14ac:dyDescent="0.35">
      <c r="A19" s="2">
        <v>1166</v>
      </c>
      <c r="B19" s="3" t="s">
        <v>48</v>
      </c>
      <c r="C19" s="2" t="s">
        <v>25</v>
      </c>
      <c r="D19" s="2" t="s">
        <v>51</v>
      </c>
      <c r="E19" s="2" t="s">
        <v>33</v>
      </c>
      <c r="F19" s="2" t="s">
        <v>34</v>
      </c>
      <c r="G19" s="2">
        <v>11</v>
      </c>
      <c r="H19" s="4">
        <v>799</v>
      </c>
    </row>
    <row r="20" spans="1:8" x14ac:dyDescent="0.35">
      <c r="A20" s="2">
        <v>1060</v>
      </c>
      <c r="B20" s="3" t="s">
        <v>52</v>
      </c>
      <c r="C20" s="2" t="s">
        <v>22</v>
      </c>
      <c r="D20" s="2" t="s">
        <v>32</v>
      </c>
      <c r="E20" s="2" t="s">
        <v>53</v>
      </c>
      <c r="F20" s="2" t="s">
        <v>34</v>
      </c>
      <c r="G20" s="2">
        <v>3</v>
      </c>
      <c r="H20" s="4">
        <v>18500</v>
      </c>
    </row>
    <row r="21" spans="1:8" x14ac:dyDescent="0.35">
      <c r="A21" s="2">
        <v>1148</v>
      </c>
      <c r="B21" s="3" t="s">
        <v>54</v>
      </c>
      <c r="C21" s="2" t="s">
        <v>25</v>
      </c>
      <c r="D21" s="2" t="s">
        <v>40</v>
      </c>
      <c r="E21" s="2" t="s">
        <v>55</v>
      </c>
      <c r="F21" s="2" t="s">
        <v>20</v>
      </c>
      <c r="G21" s="2">
        <v>4</v>
      </c>
      <c r="H21" s="4">
        <v>250</v>
      </c>
    </row>
    <row r="22" spans="1:8" x14ac:dyDescent="0.35">
      <c r="A22" s="2">
        <v>1153</v>
      </c>
      <c r="B22" s="3" t="s">
        <v>56</v>
      </c>
      <c r="C22" s="2" t="s">
        <v>22</v>
      </c>
      <c r="D22" s="2" t="s">
        <v>32</v>
      </c>
      <c r="E22" s="2" t="s">
        <v>57</v>
      </c>
      <c r="F22" s="2" t="s">
        <v>34</v>
      </c>
      <c r="G22" s="2">
        <v>1</v>
      </c>
      <c r="H22" s="4">
        <v>68000</v>
      </c>
    </row>
    <row r="23" spans="1:8" x14ac:dyDescent="0.35">
      <c r="A23" s="2">
        <v>1156</v>
      </c>
      <c r="B23" s="3" t="s">
        <v>13</v>
      </c>
      <c r="C23" s="2" t="s">
        <v>22</v>
      </c>
      <c r="D23" s="2" t="s">
        <v>23</v>
      </c>
      <c r="E23" s="2" t="s">
        <v>55</v>
      </c>
      <c r="F23" s="2" t="s">
        <v>20</v>
      </c>
      <c r="G23" s="2">
        <v>8</v>
      </c>
      <c r="H23" s="4">
        <v>250</v>
      </c>
    </row>
    <row r="24" spans="1:8" x14ac:dyDescent="0.35">
      <c r="A24" s="2">
        <v>1056</v>
      </c>
      <c r="B24" s="3" t="s">
        <v>58</v>
      </c>
      <c r="C24" s="2" t="s">
        <v>22</v>
      </c>
      <c r="D24" s="2" t="s">
        <v>38</v>
      </c>
      <c r="E24" s="2" t="s">
        <v>59</v>
      </c>
      <c r="F24" s="2" t="s">
        <v>34</v>
      </c>
      <c r="G24" s="2">
        <v>2</v>
      </c>
      <c r="H24" s="4">
        <v>2999</v>
      </c>
    </row>
    <row r="25" spans="1:8" x14ac:dyDescent="0.35">
      <c r="A25" s="2">
        <v>1165</v>
      </c>
      <c r="B25" s="3" t="s">
        <v>60</v>
      </c>
      <c r="C25" s="2" t="s">
        <v>17</v>
      </c>
      <c r="D25" s="2" t="s">
        <v>18</v>
      </c>
      <c r="E25" s="2" t="s">
        <v>57</v>
      </c>
      <c r="F25" s="2" t="s">
        <v>34</v>
      </c>
      <c r="G25" s="2">
        <v>4</v>
      </c>
      <c r="H25" s="4">
        <v>68000</v>
      </c>
    </row>
    <row r="26" spans="1:8" x14ac:dyDescent="0.35">
      <c r="A26" s="2">
        <v>1047</v>
      </c>
      <c r="B26" s="3" t="s">
        <v>61</v>
      </c>
      <c r="C26" s="2" t="s">
        <v>17</v>
      </c>
      <c r="D26" s="2" t="s">
        <v>29</v>
      </c>
      <c r="E26" s="2" t="s">
        <v>33</v>
      </c>
      <c r="F26" s="2" t="s">
        <v>34</v>
      </c>
      <c r="G26" s="2"/>
      <c r="H26" s="4">
        <v>799</v>
      </c>
    </row>
    <row r="27" spans="1:8" x14ac:dyDescent="0.35">
      <c r="A27" s="2">
        <v>1012</v>
      </c>
      <c r="B27" s="3" t="s">
        <v>62</v>
      </c>
      <c r="C27" s="2" t="s">
        <v>22</v>
      </c>
      <c r="D27" s="2" t="s">
        <v>63</v>
      </c>
      <c r="E27" s="2" t="s">
        <v>33</v>
      </c>
      <c r="F27" s="2" t="s">
        <v>34</v>
      </c>
      <c r="G27" s="2">
        <v>4</v>
      </c>
      <c r="H27" s="4">
        <v>799</v>
      </c>
    </row>
    <row r="28" spans="1:8" x14ac:dyDescent="0.35">
      <c r="A28" s="2">
        <v>1067</v>
      </c>
      <c r="B28" s="3" t="s">
        <v>64</v>
      </c>
      <c r="C28" s="2" t="s">
        <v>22</v>
      </c>
      <c r="D28" s="2" t="s">
        <v>63</v>
      </c>
      <c r="E28" s="2" t="s">
        <v>55</v>
      </c>
      <c r="F28" s="2" t="s">
        <v>20</v>
      </c>
      <c r="G28" s="2">
        <v>10</v>
      </c>
      <c r="H28" s="4">
        <v>250</v>
      </c>
    </row>
    <row r="29" spans="1:8" x14ac:dyDescent="0.35">
      <c r="A29" s="2">
        <v>1094</v>
      </c>
      <c r="B29" s="3" t="s">
        <v>65</v>
      </c>
      <c r="C29" s="2" t="s">
        <v>17</v>
      </c>
      <c r="D29" s="2" t="s">
        <v>29</v>
      </c>
      <c r="E29" s="2" t="s">
        <v>55</v>
      </c>
      <c r="F29" s="2" t="s">
        <v>20</v>
      </c>
      <c r="G29" s="2">
        <v>5</v>
      </c>
      <c r="H29" s="4">
        <v>250</v>
      </c>
    </row>
    <row r="30" spans="1:8" x14ac:dyDescent="0.35">
      <c r="A30" s="2">
        <v>1066</v>
      </c>
      <c r="B30" s="3" t="s">
        <v>62</v>
      </c>
      <c r="C30" s="2" t="s">
        <v>9</v>
      </c>
      <c r="D30" s="2" t="s">
        <v>36</v>
      </c>
      <c r="E30" s="2" t="s">
        <v>55</v>
      </c>
      <c r="F30" s="2" t="s">
        <v>66</v>
      </c>
      <c r="G30" s="2">
        <v>2</v>
      </c>
      <c r="H30" s="4">
        <v>250</v>
      </c>
    </row>
    <row r="31" spans="1:8" x14ac:dyDescent="0.35">
      <c r="A31" s="2">
        <v>1079</v>
      </c>
      <c r="B31" s="3" t="s">
        <v>27</v>
      </c>
      <c r="C31" s="2" t="s">
        <v>22</v>
      </c>
      <c r="D31" s="2" t="s">
        <v>32</v>
      </c>
      <c r="E31" s="2" t="s">
        <v>11</v>
      </c>
      <c r="F31" s="2" t="s">
        <v>30</v>
      </c>
      <c r="G31" s="2">
        <v>12</v>
      </c>
      <c r="H31" s="4">
        <v>6500</v>
      </c>
    </row>
    <row r="32" spans="1:8" x14ac:dyDescent="0.35">
      <c r="A32" s="2">
        <v>1048</v>
      </c>
      <c r="B32" s="3" t="s">
        <v>67</v>
      </c>
      <c r="C32" s="2" t="s">
        <v>9</v>
      </c>
      <c r="D32" s="2" t="s">
        <v>36</v>
      </c>
      <c r="E32" s="2" t="s">
        <v>19</v>
      </c>
      <c r="F32" s="2" t="s">
        <v>20</v>
      </c>
      <c r="G32" s="2">
        <v>1</v>
      </c>
      <c r="H32" s="4">
        <v>350</v>
      </c>
    </row>
    <row r="33" spans="1:8" x14ac:dyDescent="0.35">
      <c r="A33" s="2">
        <v>1126</v>
      </c>
      <c r="B33" s="3" t="s">
        <v>68</v>
      </c>
      <c r="C33" s="2" t="s">
        <v>9</v>
      </c>
      <c r="D33" s="2" t="s">
        <v>36</v>
      </c>
      <c r="E33" s="2" t="s">
        <v>69</v>
      </c>
      <c r="F33" s="2" t="s">
        <v>12</v>
      </c>
      <c r="G33" s="2">
        <v>3</v>
      </c>
      <c r="H33" s="4">
        <v>15500</v>
      </c>
    </row>
    <row r="34" spans="1:8" x14ac:dyDescent="0.35">
      <c r="A34" s="2">
        <v>1073</v>
      </c>
      <c r="B34" s="3" t="s">
        <v>70</v>
      </c>
      <c r="C34" s="2" t="s">
        <v>71</v>
      </c>
      <c r="D34" s="2" t="s">
        <v>14</v>
      </c>
      <c r="E34" s="2" t="s">
        <v>59</v>
      </c>
      <c r="F34" s="2" t="s">
        <v>34</v>
      </c>
      <c r="G34" s="2">
        <v>9</v>
      </c>
      <c r="H34" s="4">
        <v>2999</v>
      </c>
    </row>
    <row r="35" spans="1:8" x14ac:dyDescent="0.35">
      <c r="A35" s="2">
        <v>1011</v>
      </c>
      <c r="B35" s="3" t="s">
        <v>72</v>
      </c>
      <c r="C35" s="2" t="s">
        <v>25</v>
      </c>
      <c r="D35" s="2" t="s">
        <v>26</v>
      </c>
      <c r="E35" s="2" t="s">
        <v>33</v>
      </c>
      <c r="F35" s="2" t="s">
        <v>34</v>
      </c>
      <c r="G35" s="2">
        <v>1</v>
      </c>
      <c r="H35" s="4">
        <v>799</v>
      </c>
    </row>
    <row r="36" spans="1:8" x14ac:dyDescent="0.35">
      <c r="A36" s="2">
        <v>1029</v>
      </c>
      <c r="B36" s="3" t="s">
        <v>73</v>
      </c>
      <c r="C36" s="2" t="s">
        <v>22</v>
      </c>
      <c r="D36" s="2" t="s">
        <v>23</v>
      </c>
      <c r="E36" s="2" t="s">
        <v>42</v>
      </c>
      <c r="F36" s="2" t="s">
        <v>20</v>
      </c>
      <c r="G36" s="2">
        <v>3</v>
      </c>
      <c r="H36" s="4">
        <v>120</v>
      </c>
    </row>
    <row r="37" spans="1:8" x14ac:dyDescent="0.35">
      <c r="A37" s="2">
        <v>1116</v>
      </c>
      <c r="B37" s="3" t="s">
        <v>74</v>
      </c>
      <c r="C37" s="2" t="s">
        <v>22</v>
      </c>
      <c r="D37" s="2" t="s">
        <v>32</v>
      </c>
      <c r="E37" s="2" t="s">
        <v>69</v>
      </c>
      <c r="F37" s="2" t="s">
        <v>12</v>
      </c>
      <c r="G37" s="2"/>
      <c r="H37" s="4">
        <v>15500</v>
      </c>
    </row>
    <row r="38" spans="1:8" x14ac:dyDescent="0.35">
      <c r="A38" s="2">
        <v>1007</v>
      </c>
      <c r="B38" s="3" t="s">
        <v>61</v>
      </c>
      <c r="C38" s="2" t="s">
        <v>22</v>
      </c>
      <c r="D38" s="2" t="s">
        <v>23</v>
      </c>
      <c r="E38" s="2" t="s">
        <v>42</v>
      </c>
      <c r="F38" s="2" t="s">
        <v>20</v>
      </c>
      <c r="G38" s="2">
        <v>2</v>
      </c>
      <c r="H38" s="4">
        <v>120</v>
      </c>
    </row>
    <row r="39" spans="1:8" x14ac:dyDescent="0.35">
      <c r="A39" s="2">
        <v>1028</v>
      </c>
      <c r="B39" s="3" t="s">
        <v>75</v>
      </c>
      <c r="C39" s="2" t="s">
        <v>76</v>
      </c>
      <c r="D39" s="2" t="s">
        <v>23</v>
      </c>
      <c r="E39" s="2" t="s">
        <v>55</v>
      </c>
      <c r="F39" s="2" t="s">
        <v>20</v>
      </c>
      <c r="G39" s="2">
        <v>11</v>
      </c>
      <c r="H39" s="4">
        <v>250</v>
      </c>
    </row>
    <row r="40" spans="1:8" x14ac:dyDescent="0.35">
      <c r="A40" s="2">
        <v>1072</v>
      </c>
      <c r="B40" s="3" t="s">
        <v>77</v>
      </c>
      <c r="C40" s="2" t="s">
        <v>9</v>
      </c>
      <c r="D40" s="2" t="s">
        <v>36</v>
      </c>
      <c r="E40" s="2" t="s">
        <v>33</v>
      </c>
      <c r="F40" s="2" t="s">
        <v>34</v>
      </c>
      <c r="G40" s="2">
        <v>12</v>
      </c>
      <c r="H40" s="4">
        <v>799</v>
      </c>
    </row>
    <row r="41" spans="1:8" x14ac:dyDescent="0.35">
      <c r="A41" s="2">
        <v>1015</v>
      </c>
      <c r="B41" s="3" t="s">
        <v>27</v>
      </c>
      <c r="C41" s="2" t="s">
        <v>25</v>
      </c>
      <c r="D41" s="2" t="s">
        <v>26</v>
      </c>
      <c r="E41" s="2" t="s">
        <v>59</v>
      </c>
      <c r="F41" s="2" t="s">
        <v>34</v>
      </c>
      <c r="G41" s="2">
        <v>11</v>
      </c>
      <c r="H41" s="4">
        <v>2999</v>
      </c>
    </row>
    <row r="42" spans="1:8" x14ac:dyDescent="0.35">
      <c r="A42" s="2">
        <v>1100</v>
      </c>
      <c r="B42" s="3" t="s">
        <v>78</v>
      </c>
      <c r="C42" s="2" t="s">
        <v>28</v>
      </c>
      <c r="D42" s="2" t="s">
        <v>79</v>
      </c>
      <c r="E42" s="2" t="s">
        <v>59</v>
      </c>
      <c r="F42" s="2" t="s">
        <v>34</v>
      </c>
      <c r="G42" s="2">
        <v>4</v>
      </c>
      <c r="H42" s="4">
        <v>2999</v>
      </c>
    </row>
    <row r="43" spans="1:8" x14ac:dyDescent="0.35">
      <c r="A43" s="2">
        <v>1051</v>
      </c>
      <c r="B43" s="3" t="s">
        <v>80</v>
      </c>
      <c r="C43" s="2" t="s">
        <v>9</v>
      </c>
      <c r="D43" s="2" t="s">
        <v>14</v>
      </c>
      <c r="E43" s="2" t="s">
        <v>55</v>
      </c>
      <c r="F43" s="2" t="s">
        <v>20</v>
      </c>
      <c r="G43" s="2">
        <v>8</v>
      </c>
      <c r="H43" s="4">
        <v>250</v>
      </c>
    </row>
    <row r="44" spans="1:8" x14ac:dyDescent="0.35">
      <c r="A44" s="2">
        <v>1016</v>
      </c>
      <c r="B44" s="3" t="s">
        <v>81</v>
      </c>
      <c r="C44" s="2" t="s">
        <v>22</v>
      </c>
      <c r="D44" s="2" t="s">
        <v>23</v>
      </c>
      <c r="E44" s="2" t="s">
        <v>15</v>
      </c>
      <c r="F44" s="2" t="s">
        <v>12</v>
      </c>
      <c r="G44" s="2">
        <v>7</v>
      </c>
      <c r="H44" s="4">
        <v>4200</v>
      </c>
    </row>
    <row r="45" spans="1:8" x14ac:dyDescent="0.35">
      <c r="A45" s="2">
        <v>1081</v>
      </c>
      <c r="B45" s="3" t="s">
        <v>68</v>
      </c>
      <c r="C45" s="2" t="s">
        <v>17</v>
      </c>
      <c r="D45" s="2" t="s">
        <v>18</v>
      </c>
      <c r="E45" s="2" t="s">
        <v>55</v>
      </c>
      <c r="F45" s="2" t="s">
        <v>20</v>
      </c>
      <c r="G45" s="2">
        <v>4</v>
      </c>
      <c r="H45" s="4">
        <v>250</v>
      </c>
    </row>
    <row r="46" spans="1:8" x14ac:dyDescent="0.35">
      <c r="A46" s="2">
        <v>1109</v>
      </c>
      <c r="B46" s="3" t="s">
        <v>82</v>
      </c>
      <c r="C46" s="2" t="s">
        <v>41</v>
      </c>
      <c r="D46" s="2" t="s">
        <v>26</v>
      </c>
      <c r="E46" s="2" t="s">
        <v>55</v>
      </c>
      <c r="F46" s="2" t="s">
        <v>20</v>
      </c>
      <c r="G46" s="2">
        <v>6</v>
      </c>
      <c r="H46" s="4">
        <v>250</v>
      </c>
    </row>
    <row r="47" spans="1:8" x14ac:dyDescent="0.35">
      <c r="A47" s="2">
        <v>1003</v>
      </c>
      <c r="B47" s="3" t="s">
        <v>83</v>
      </c>
      <c r="C47" s="2" t="s">
        <v>17</v>
      </c>
      <c r="D47" s="2" t="s">
        <v>29</v>
      </c>
      <c r="E47" s="2" t="s">
        <v>57</v>
      </c>
      <c r="F47" s="2" t="s">
        <v>34</v>
      </c>
      <c r="G47" s="2">
        <v>2</v>
      </c>
      <c r="H47" s="4">
        <v>68000</v>
      </c>
    </row>
    <row r="48" spans="1:8" x14ac:dyDescent="0.35">
      <c r="A48" s="2">
        <v>1137</v>
      </c>
      <c r="B48" s="3" t="s">
        <v>83</v>
      </c>
      <c r="C48" s="2" t="s">
        <v>25</v>
      </c>
      <c r="D48" s="2" t="s">
        <v>40</v>
      </c>
      <c r="E48" s="2" t="s">
        <v>84</v>
      </c>
      <c r="F48" s="2" t="s">
        <v>12</v>
      </c>
      <c r="G48" s="2">
        <v>2</v>
      </c>
      <c r="H48" s="4">
        <v>15500</v>
      </c>
    </row>
    <row r="49" spans="1:8" x14ac:dyDescent="0.35">
      <c r="A49" s="2">
        <v>1157</v>
      </c>
      <c r="B49" s="3" t="s">
        <v>50</v>
      </c>
      <c r="C49" s="2" t="s">
        <v>9</v>
      </c>
      <c r="D49" s="2" t="s">
        <v>14</v>
      </c>
      <c r="E49" s="2" t="s">
        <v>15</v>
      </c>
      <c r="F49" s="2" t="s">
        <v>30</v>
      </c>
      <c r="G49" s="2">
        <v>2</v>
      </c>
      <c r="H49" s="4">
        <v>4200</v>
      </c>
    </row>
    <row r="50" spans="1:8" x14ac:dyDescent="0.35">
      <c r="A50" s="2">
        <v>1086</v>
      </c>
      <c r="B50" s="3" t="s">
        <v>85</v>
      </c>
      <c r="C50" s="2" t="s">
        <v>17</v>
      </c>
      <c r="D50" s="2" t="s">
        <v>18</v>
      </c>
      <c r="E50" s="2" t="s">
        <v>86</v>
      </c>
      <c r="F50" s="2" t="s">
        <v>20</v>
      </c>
      <c r="G50" s="2">
        <v>7</v>
      </c>
      <c r="H50" s="4">
        <v>120</v>
      </c>
    </row>
    <row r="51" spans="1:8" x14ac:dyDescent="0.35">
      <c r="A51" s="2">
        <v>1046</v>
      </c>
      <c r="B51" s="3" t="s">
        <v>87</v>
      </c>
      <c r="C51" s="2" t="s">
        <v>28</v>
      </c>
      <c r="D51" s="2" t="s">
        <v>29</v>
      </c>
      <c r="E51" s="2" t="s">
        <v>53</v>
      </c>
      <c r="F51" s="2" t="s">
        <v>34</v>
      </c>
      <c r="G51" s="2">
        <v>3</v>
      </c>
      <c r="H51" s="4">
        <v>18500</v>
      </c>
    </row>
    <row r="52" spans="1:8" x14ac:dyDescent="0.35">
      <c r="A52" s="2">
        <v>1088</v>
      </c>
      <c r="B52" s="3" t="s">
        <v>88</v>
      </c>
      <c r="C52" s="2" t="s">
        <v>9</v>
      </c>
      <c r="D52" s="2" t="s">
        <v>14</v>
      </c>
      <c r="E52" s="2" t="s">
        <v>57</v>
      </c>
      <c r="F52" s="2" t="s">
        <v>34</v>
      </c>
      <c r="G52" s="2">
        <v>9</v>
      </c>
      <c r="H52" s="4">
        <v>68000</v>
      </c>
    </row>
    <row r="53" spans="1:8" x14ac:dyDescent="0.35">
      <c r="A53" s="2">
        <v>1021</v>
      </c>
      <c r="B53" s="3" t="s">
        <v>89</v>
      </c>
      <c r="C53" s="2" t="s">
        <v>25</v>
      </c>
      <c r="D53" s="2" t="s">
        <v>40</v>
      </c>
      <c r="E53" s="2" t="s">
        <v>59</v>
      </c>
      <c r="F53" s="2" t="s">
        <v>34</v>
      </c>
      <c r="G53" s="2">
        <v>7</v>
      </c>
      <c r="H53" s="4">
        <v>2999</v>
      </c>
    </row>
    <row r="54" spans="1:8" x14ac:dyDescent="0.35">
      <c r="A54" s="2">
        <v>1096</v>
      </c>
      <c r="B54" s="3" t="s">
        <v>90</v>
      </c>
      <c r="C54" s="2" t="s">
        <v>22</v>
      </c>
      <c r="D54" s="2" t="s">
        <v>32</v>
      </c>
      <c r="E54" s="2" t="s">
        <v>11</v>
      </c>
      <c r="F54" s="2" t="s">
        <v>12</v>
      </c>
      <c r="G54" s="2">
        <v>11</v>
      </c>
      <c r="H54" s="4">
        <v>6500</v>
      </c>
    </row>
    <row r="55" spans="1:8" x14ac:dyDescent="0.35">
      <c r="A55" s="2">
        <v>1145</v>
      </c>
      <c r="B55" s="3" t="s">
        <v>91</v>
      </c>
      <c r="C55" s="2" t="s">
        <v>28</v>
      </c>
      <c r="D55" s="2" t="s">
        <v>29</v>
      </c>
      <c r="E55" s="2" t="s">
        <v>55</v>
      </c>
      <c r="F55" s="2" t="s">
        <v>20</v>
      </c>
      <c r="G55" s="2">
        <v>11</v>
      </c>
      <c r="H55" s="4">
        <v>250</v>
      </c>
    </row>
    <row r="56" spans="1:8" x14ac:dyDescent="0.35">
      <c r="A56" s="2">
        <v>1082</v>
      </c>
      <c r="B56" s="3" t="s">
        <v>92</v>
      </c>
      <c r="C56" s="2" t="s">
        <v>71</v>
      </c>
      <c r="D56" s="2" t="s">
        <v>36</v>
      </c>
      <c r="E56" s="2" t="s">
        <v>53</v>
      </c>
      <c r="F56" s="2" t="s">
        <v>34</v>
      </c>
      <c r="G56" s="2">
        <v>6</v>
      </c>
      <c r="H56" s="4">
        <v>18500</v>
      </c>
    </row>
    <row r="57" spans="1:8" x14ac:dyDescent="0.35">
      <c r="A57" s="2">
        <v>1138</v>
      </c>
      <c r="B57" s="3" t="s">
        <v>61</v>
      </c>
      <c r="C57" s="2" t="s">
        <v>17</v>
      </c>
      <c r="D57" s="2" t="s">
        <v>29</v>
      </c>
      <c r="E57" s="2" t="s">
        <v>15</v>
      </c>
      <c r="F57" s="2" t="s">
        <v>12</v>
      </c>
      <c r="G57" s="2">
        <v>10</v>
      </c>
      <c r="H57" s="4">
        <v>4200</v>
      </c>
    </row>
    <row r="58" spans="1:8" x14ac:dyDescent="0.35">
      <c r="A58" s="2">
        <v>1022</v>
      </c>
      <c r="B58" s="3" t="s">
        <v>93</v>
      </c>
      <c r="C58" s="2" t="s">
        <v>22</v>
      </c>
      <c r="D58" s="2" t="s">
        <v>23</v>
      </c>
      <c r="E58" s="2" t="s">
        <v>19</v>
      </c>
      <c r="F58" s="2" t="s">
        <v>20</v>
      </c>
      <c r="G58" s="2">
        <v>8</v>
      </c>
      <c r="H58" s="4">
        <v>350</v>
      </c>
    </row>
    <row r="59" spans="1:8" x14ac:dyDescent="0.35">
      <c r="A59" s="2">
        <v>1055</v>
      </c>
      <c r="B59" s="3" t="s">
        <v>94</v>
      </c>
      <c r="C59" s="2" t="s">
        <v>28</v>
      </c>
      <c r="D59" s="2" t="s">
        <v>29</v>
      </c>
      <c r="E59" s="2" t="s">
        <v>57</v>
      </c>
      <c r="F59" s="2" t="s">
        <v>34</v>
      </c>
      <c r="G59" s="2">
        <v>9</v>
      </c>
      <c r="H59" s="4">
        <v>68000</v>
      </c>
    </row>
    <row r="60" spans="1:8" x14ac:dyDescent="0.35">
      <c r="A60" s="2">
        <v>1089</v>
      </c>
      <c r="B60" s="3" t="s">
        <v>95</v>
      </c>
      <c r="C60" s="2" t="s">
        <v>22</v>
      </c>
      <c r="D60" s="2" t="s">
        <v>63</v>
      </c>
      <c r="E60" s="2" t="s">
        <v>53</v>
      </c>
      <c r="F60" s="2" t="s">
        <v>34</v>
      </c>
      <c r="G60" s="2">
        <v>2</v>
      </c>
      <c r="H60" s="4">
        <v>18500</v>
      </c>
    </row>
    <row r="61" spans="1:8" x14ac:dyDescent="0.35">
      <c r="A61" s="2">
        <v>1097</v>
      </c>
      <c r="B61" s="3" t="s">
        <v>96</v>
      </c>
      <c r="C61" s="2" t="s">
        <v>25</v>
      </c>
      <c r="D61" s="2" t="s">
        <v>40</v>
      </c>
      <c r="E61" s="2" t="s">
        <v>33</v>
      </c>
      <c r="F61" s="2" t="s">
        <v>34</v>
      </c>
      <c r="G61" s="2">
        <v>4</v>
      </c>
      <c r="H61" s="4">
        <v>799</v>
      </c>
    </row>
    <row r="62" spans="1:8" x14ac:dyDescent="0.35">
      <c r="A62" s="2">
        <v>1026</v>
      </c>
      <c r="B62" s="3" t="s">
        <v>97</v>
      </c>
      <c r="C62" s="2" t="s">
        <v>9</v>
      </c>
      <c r="D62" s="2" t="s">
        <v>14</v>
      </c>
      <c r="E62" s="2" t="s">
        <v>42</v>
      </c>
      <c r="F62" s="2" t="s">
        <v>20</v>
      </c>
      <c r="G62" s="2">
        <v>2</v>
      </c>
      <c r="H62" s="4">
        <v>120</v>
      </c>
    </row>
    <row r="63" spans="1:8" x14ac:dyDescent="0.35">
      <c r="A63" s="2">
        <v>1180</v>
      </c>
      <c r="B63" s="3" t="s">
        <v>98</v>
      </c>
      <c r="C63" s="2" t="s">
        <v>9</v>
      </c>
      <c r="D63" s="2" t="s">
        <v>14</v>
      </c>
      <c r="E63" s="2" t="s">
        <v>33</v>
      </c>
      <c r="F63" s="2" t="s">
        <v>34</v>
      </c>
      <c r="G63" s="2">
        <v>6</v>
      </c>
      <c r="H63" s="4">
        <v>799</v>
      </c>
    </row>
    <row r="64" spans="1:8" x14ac:dyDescent="0.35">
      <c r="A64" s="2">
        <v>1143</v>
      </c>
      <c r="B64" s="3" t="s">
        <v>99</v>
      </c>
      <c r="C64" s="2" t="s">
        <v>17</v>
      </c>
      <c r="D64" s="2" t="s">
        <v>29</v>
      </c>
      <c r="E64" s="2" t="s">
        <v>15</v>
      </c>
      <c r="F64" s="2" t="s">
        <v>12</v>
      </c>
      <c r="G64" s="2">
        <v>11</v>
      </c>
      <c r="H64" s="4">
        <v>4200</v>
      </c>
    </row>
    <row r="65" spans="1:8" x14ac:dyDescent="0.35">
      <c r="A65" s="2">
        <v>1123</v>
      </c>
      <c r="B65" s="3" t="s">
        <v>80</v>
      </c>
      <c r="C65" s="2" t="s">
        <v>25</v>
      </c>
      <c r="D65" s="2" t="s">
        <v>40</v>
      </c>
      <c r="E65" s="2" t="s">
        <v>55</v>
      </c>
      <c r="F65" s="2" t="s">
        <v>20</v>
      </c>
      <c r="G65" s="2">
        <v>2</v>
      </c>
      <c r="H65" s="4">
        <v>250</v>
      </c>
    </row>
    <row r="66" spans="1:8" x14ac:dyDescent="0.35">
      <c r="A66" s="2">
        <v>1167</v>
      </c>
      <c r="B66" s="3" t="s">
        <v>100</v>
      </c>
      <c r="C66" s="2" t="s">
        <v>25</v>
      </c>
      <c r="D66" s="2" t="s">
        <v>26</v>
      </c>
      <c r="E66" s="2" t="s">
        <v>53</v>
      </c>
      <c r="F66" s="2" t="s">
        <v>34</v>
      </c>
      <c r="G66" s="2">
        <v>2</v>
      </c>
      <c r="H66" s="4">
        <v>18500</v>
      </c>
    </row>
    <row r="67" spans="1:8" x14ac:dyDescent="0.35">
      <c r="A67" s="2">
        <v>1087</v>
      </c>
      <c r="B67" s="3" t="s">
        <v>101</v>
      </c>
      <c r="C67" s="2" t="s">
        <v>9</v>
      </c>
      <c r="D67" s="2" t="s">
        <v>14</v>
      </c>
      <c r="E67" s="2" t="s">
        <v>59</v>
      </c>
      <c r="F67" s="2" t="s">
        <v>34</v>
      </c>
      <c r="G67" s="2">
        <v>4</v>
      </c>
      <c r="H67" s="4">
        <v>2999</v>
      </c>
    </row>
    <row r="68" spans="1:8" x14ac:dyDescent="0.35">
      <c r="A68" s="2">
        <v>1010</v>
      </c>
      <c r="B68" s="3" t="s">
        <v>102</v>
      </c>
      <c r="C68" s="2" t="s">
        <v>28</v>
      </c>
      <c r="D68" s="2" t="s">
        <v>29</v>
      </c>
      <c r="E68" s="2" t="s">
        <v>19</v>
      </c>
      <c r="F68" s="2" t="s">
        <v>20</v>
      </c>
      <c r="G68" s="2">
        <v>5</v>
      </c>
      <c r="H68" s="4">
        <v>350</v>
      </c>
    </row>
    <row r="69" spans="1:8" x14ac:dyDescent="0.35">
      <c r="A69" s="2">
        <v>1048</v>
      </c>
      <c r="B69" s="3" t="s">
        <v>67</v>
      </c>
      <c r="C69" s="2" t="s">
        <v>9</v>
      </c>
      <c r="D69" s="2" t="s">
        <v>36</v>
      </c>
      <c r="E69" s="2" t="s">
        <v>19</v>
      </c>
      <c r="F69" s="2" t="s">
        <v>20</v>
      </c>
      <c r="G69" s="2">
        <v>1</v>
      </c>
      <c r="H69" s="4">
        <v>350</v>
      </c>
    </row>
    <row r="70" spans="1:8" x14ac:dyDescent="0.35">
      <c r="A70" s="2">
        <v>1095</v>
      </c>
      <c r="B70" s="3" t="s">
        <v>103</v>
      </c>
      <c r="C70" s="2" t="s">
        <v>17</v>
      </c>
      <c r="D70" s="2" t="s">
        <v>18</v>
      </c>
      <c r="E70" s="2" t="s">
        <v>15</v>
      </c>
      <c r="F70" s="2" t="s">
        <v>12</v>
      </c>
      <c r="G70" s="2">
        <v>8</v>
      </c>
      <c r="H70" s="4">
        <v>4200</v>
      </c>
    </row>
    <row r="71" spans="1:8" x14ac:dyDescent="0.35">
      <c r="A71" s="2">
        <v>1019</v>
      </c>
      <c r="B71" s="3" t="s">
        <v>104</v>
      </c>
      <c r="C71" s="2" t="s">
        <v>41</v>
      </c>
      <c r="D71" s="2" t="s">
        <v>26</v>
      </c>
      <c r="E71" s="2" t="s">
        <v>15</v>
      </c>
      <c r="F71" s="2" t="s">
        <v>12</v>
      </c>
      <c r="G71" s="2">
        <v>7</v>
      </c>
      <c r="H71" s="4">
        <v>4200</v>
      </c>
    </row>
    <row r="72" spans="1:8" x14ac:dyDescent="0.35">
      <c r="A72" s="2">
        <v>1002</v>
      </c>
      <c r="B72" s="3" t="s">
        <v>92</v>
      </c>
      <c r="C72" s="2" t="s">
        <v>22</v>
      </c>
      <c r="D72" s="2" t="s">
        <v>23</v>
      </c>
      <c r="E72" s="2" t="s">
        <v>19</v>
      </c>
      <c r="F72" s="2" t="s">
        <v>20</v>
      </c>
      <c r="G72" s="2">
        <v>2</v>
      </c>
      <c r="H72" s="4">
        <v>350</v>
      </c>
    </row>
    <row r="73" spans="1:8" x14ac:dyDescent="0.35">
      <c r="A73" s="2">
        <v>1136</v>
      </c>
      <c r="B73" s="3" t="s">
        <v>105</v>
      </c>
      <c r="C73" s="2" t="s">
        <v>41</v>
      </c>
      <c r="D73" s="2" t="s">
        <v>40</v>
      </c>
      <c r="E73" s="2" t="s">
        <v>15</v>
      </c>
      <c r="F73" s="2" t="s">
        <v>12</v>
      </c>
      <c r="G73" s="2">
        <v>7</v>
      </c>
      <c r="H73" s="4">
        <v>4200</v>
      </c>
    </row>
    <row r="74" spans="1:8" x14ac:dyDescent="0.35">
      <c r="A74" s="2">
        <v>1068</v>
      </c>
      <c r="B74" s="3" t="s">
        <v>103</v>
      </c>
      <c r="C74" s="2" t="s">
        <v>25</v>
      </c>
      <c r="D74" s="2" t="s">
        <v>26</v>
      </c>
      <c r="E74" s="2" t="s">
        <v>55</v>
      </c>
      <c r="F74" s="2" t="s">
        <v>20</v>
      </c>
      <c r="G74" s="2">
        <v>9</v>
      </c>
      <c r="H74" s="4">
        <v>250</v>
      </c>
    </row>
    <row r="75" spans="1:8" x14ac:dyDescent="0.35">
      <c r="A75" s="2">
        <v>1078</v>
      </c>
      <c r="B75" s="3" t="s">
        <v>106</v>
      </c>
      <c r="C75" s="2" t="s">
        <v>9</v>
      </c>
      <c r="D75" s="2" t="s">
        <v>10</v>
      </c>
      <c r="E75" s="2" t="s">
        <v>42</v>
      </c>
      <c r="F75" s="2" t="s">
        <v>20</v>
      </c>
      <c r="G75" s="2">
        <v>7</v>
      </c>
      <c r="H75" s="4">
        <v>120</v>
      </c>
    </row>
    <row r="76" spans="1:8" x14ac:dyDescent="0.35">
      <c r="A76" s="2">
        <v>1057</v>
      </c>
      <c r="B76" s="3" t="s">
        <v>107</v>
      </c>
      <c r="C76" s="2" t="s">
        <v>22</v>
      </c>
      <c r="D76" s="2" t="s">
        <v>32</v>
      </c>
      <c r="E76" s="2" t="s">
        <v>33</v>
      </c>
      <c r="F76" s="2" t="s">
        <v>34</v>
      </c>
      <c r="G76" s="2">
        <v>10</v>
      </c>
      <c r="H76" s="4">
        <v>799</v>
      </c>
    </row>
    <row r="77" spans="1:8" x14ac:dyDescent="0.35">
      <c r="A77" s="2">
        <v>1013</v>
      </c>
      <c r="B77" s="3" t="s">
        <v>108</v>
      </c>
      <c r="C77" s="2" t="s">
        <v>17</v>
      </c>
      <c r="D77" s="2" t="s">
        <v>18</v>
      </c>
      <c r="E77" s="2" t="s">
        <v>15</v>
      </c>
      <c r="F77" s="2" t="s">
        <v>12</v>
      </c>
      <c r="G77" s="2">
        <v>11</v>
      </c>
      <c r="H77" s="4">
        <v>4200</v>
      </c>
    </row>
    <row r="78" spans="1:8" x14ac:dyDescent="0.35">
      <c r="A78" s="2">
        <v>1103</v>
      </c>
      <c r="B78" s="3" t="s">
        <v>105</v>
      </c>
      <c r="C78" s="2" t="s">
        <v>17</v>
      </c>
      <c r="D78" s="2" t="s">
        <v>29</v>
      </c>
      <c r="E78" s="2" t="s">
        <v>109</v>
      </c>
      <c r="F78" s="2" t="s">
        <v>20</v>
      </c>
      <c r="G78" s="2">
        <v>4</v>
      </c>
      <c r="H78" s="4">
        <v>350</v>
      </c>
    </row>
    <row r="79" spans="1:8" x14ac:dyDescent="0.35">
      <c r="A79" s="2">
        <v>1112</v>
      </c>
      <c r="B79" s="3" t="s">
        <v>99</v>
      </c>
      <c r="C79" s="2" t="s">
        <v>25</v>
      </c>
      <c r="D79" s="2" t="s">
        <v>40</v>
      </c>
      <c r="E79" s="2" t="s">
        <v>53</v>
      </c>
      <c r="F79" s="2" t="s">
        <v>34</v>
      </c>
      <c r="G79" s="2">
        <v>1</v>
      </c>
      <c r="H79" s="4">
        <v>18500</v>
      </c>
    </row>
    <row r="80" spans="1:8" x14ac:dyDescent="0.35">
      <c r="A80" s="2">
        <v>1122</v>
      </c>
      <c r="B80" s="3" t="s">
        <v>110</v>
      </c>
      <c r="C80" s="2" t="s">
        <v>22</v>
      </c>
      <c r="D80" s="2" t="s">
        <v>63</v>
      </c>
      <c r="E80" s="2" t="s">
        <v>42</v>
      </c>
      <c r="F80" s="2" t="s">
        <v>20</v>
      </c>
      <c r="G80" s="2">
        <v>6</v>
      </c>
      <c r="H80" s="4">
        <v>120</v>
      </c>
    </row>
    <row r="81" spans="1:8" x14ac:dyDescent="0.35">
      <c r="A81" s="2">
        <v>1017</v>
      </c>
      <c r="B81" s="3" t="s">
        <v>111</v>
      </c>
      <c r="C81" s="2" t="s">
        <v>22</v>
      </c>
      <c r="D81" s="2" t="s">
        <v>32</v>
      </c>
      <c r="E81" s="2" t="s">
        <v>57</v>
      </c>
      <c r="F81" s="2" t="s">
        <v>34</v>
      </c>
      <c r="G81" s="2">
        <v>4</v>
      </c>
      <c r="H81" s="4">
        <v>68000</v>
      </c>
    </row>
    <row r="82" spans="1:8" x14ac:dyDescent="0.35">
      <c r="A82" s="2">
        <v>1005</v>
      </c>
      <c r="B82" s="3" t="s">
        <v>44</v>
      </c>
      <c r="C82" s="2" t="s">
        <v>17</v>
      </c>
      <c r="D82" s="2" t="s">
        <v>29</v>
      </c>
      <c r="E82" s="2" t="s">
        <v>15</v>
      </c>
      <c r="F82" s="2" t="s">
        <v>12</v>
      </c>
      <c r="G82" s="2">
        <v>10</v>
      </c>
      <c r="H82" s="4">
        <v>4200</v>
      </c>
    </row>
    <row r="83" spans="1:8" x14ac:dyDescent="0.35">
      <c r="A83" s="2">
        <v>1064</v>
      </c>
      <c r="B83" s="3" t="s">
        <v>112</v>
      </c>
      <c r="C83" s="2" t="s">
        <v>41</v>
      </c>
      <c r="D83" s="2" t="s">
        <v>40</v>
      </c>
      <c r="E83" s="2" t="s">
        <v>11</v>
      </c>
      <c r="F83" s="2" t="s">
        <v>12</v>
      </c>
      <c r="G83" s="2">
        <v>8</v>
      </c>
      <c r="H83" s="4">
        <v>6500</v>
      </c>
    </row>
    <row r="84" spans="1:8" x14ac:dyDescent="0.35">
      <c r="A84" s="2">
        <v>1159</v>
      </c>
      <c r="B84" s="3" t="s">
        <v>65</v>
      </c>
      <c r="C84" s="2" t="s">
        <v>9</v>
      </c>
      <c r="D84" s="2" t="s">
        <v>36</v>
      </c>
      <c r="E84" s="2" t="s">
        <v>33</v>
      </c>
      <c r="F84" s="2" t="s">
        <v>34</v>
      </c>
      <c r="G84" s="2">
        <v>9</v>
      </c>
      <c r="H84" s="4">
        <v>799</v>
      </c>
    </row>
    <row r="85" spans="1:8" x14ac:dyDescent="0.35">
      <c r="A85" s="2">
        <v>1084</v>
      </c>
      <c r="B85" s="3" t="s">
        <v>113</v>
      </c>
      <c r="C85" s="2" t="s">
        <v>17</v>
      </c>
      <c r="D85" s="2" t="s">
        <v>18</v>
      </c>
      <c r="E85" s="2" t="s">
        <v>57</v>
      </c>
      <c r="F85" s="2" t="s">
        <v>34</v>
      </c>
      <c r="G85" s="2">
        <v>2</v>
      </c>
      <c r="H85" s="4">
        <v>68000</v>
      </c>
    </row>
    <row r="86" spans="1:8" x14ac:dyDescent="0.35">
      <c r="A86" s="2">
        <v>1092</v>
      </c>
      <c r="B86" s="3" t="s">
        <v>114</v>
      </c>
      <c r="C86" s="2" t="s">
        <v>25</v>
      </c>
      <c r="D86" s="2" t="s">
        <v>26</v>
      </c>
      <c r="E86" s="2" t="s">
        <v>69</v>
      </c>
      <c r="F86" s="2" t="s">
        <v>30</v>
      </c>
      <c r="G86" s="2">
        <v>7</v>
      </c>
      <c r="H86" s="4">
        <v>15500</v>
      </c>
    </row>
    <row r="87" spans="1:8" x14ac:dyDescent="0.35">
      <c r="A87" s="2">
        <v>1127</v>
      </c>
      <c r="B87" s="3" t="s">
        <v>115</v>
      </c>
      <c r="C87" s="2" t="s">
        <v>71</v>
      </c>
      <c r="D87" s="2" t="s">
        <v>36</v>
      </c>
      <c r="E87" s="2" t="s">
        <v>15</v>
      </c>
      <c r="F87" s="2" t="s">
        <v>12</v>
      </c>
      <c r="G87" s="2">
        <v>12</v>
      </c>
      <c r="H87" s="4">
        <v>4200</v>
      </c>
    </row>
    <row r="88" spans="1:8" x14ac:dyDescent="0.35">
      <c r="A88" s="2">
        <v>1061</v>
      </c>
      <c r="B88" s="3" t="s">
        <v>27</v>
      </c>
      <c r="C88" s="2" t="s">
        <v>25</v>
      </c>
      <c r="D88" s="2" t="s">
        <v>40</v>
      </c>
      <c r="E88" s="2" t="s">
        <v>42</v>
      </c>
      <c r="F88" s="2" t="s">
        <v>20</v>
      </c>
      <c r="G88" s="2">
        <v>2</v>
      </c>
      <c r="H88" s="4">
        <v>120</v>
      </c>
    </row>
    <row r="89" spans="1:8" x14ac:dyDescent="0.35">
      <c r="A89" s="2">
        <v>1154</v>
      </c>
      <c r="B89" s="3" t="s">
        <v>116</v>
      </c>
      <c r="C89" s="2" t="s">
        <v>41</v>
      </c>
      <c r="D89" s="2" t="s">
        <v>26</v>
      </c>
      <c r="E89" s="2" t="s">
        <v>117</v>
      </c>
      <c r="F89" s="2" t="s">
        <v>12</v>
      </c>
      <c r="G89" s="2">
        <v>2</v>
      </c>
      <c r="H89" s="4">
        <v>4200</v>
      </c>
    </row>
    <row r="90" spans="1:8" x14ac:dyDescent="0.35">
      <c r="A90" s="2">
        <v>1006</v>
      </c>
      <c r="B90" s="3" t="s">
        <v>61</v>
      </c>
      <c r="C90" s="2" t="s">
        <v>9</v>
      </c>
      <c r="D90" s="2" t="s">
        <v>36</v>
      </c>
      <c r="E90" s="2" t="s">
        <v>53</v>
      </c>
      <c r="F90" s="2" t="s">
        <v>34</v>
      </c>
      <c r="G90" s="2">
        <v>6</v>
      </c>
      <c r="H90" s="4">
        <v>18500</v>
      </c>
    </row>
    <row r="91" spans="1:8" x14ac:dyDescent="0.35">
      <c r="A91" s="2">
        <v>1164</v>
      </c>
      <c r="B91" s="3" t="s">
        <v>116</v>
      </c>
      <c r="C91" s="2" t="s">
        <v>9</v>
      </c>
      <c r="D91" s="2" t="s">
        <v>36</v>
      </c>
      <c r="E91" s="2" t="s">
        <v>57</v>
      </c>
      <c r="F91" s="2" t="s">
        <v>34</v>
      </c>
      <c r="G91" s="2">
        <v>7</v>
      </c>
      <c r="H91" s="4">
        <v>68000</v>
      </c>
    </row>
    <row r="92" spans="1:8" x14ac:dyDescent="0.35">
      <c r="A92" s="2">
        <v>1146</v>
      </c>
      <c r="B92" s="3" t="s">
        <v>118</v>
      </c>
      <c r="C92" s="2" t="s">
        <v>25</v>
      </c>
      <c r="D92" s="2" t="s">
        <v>40</v>
      </c>
      <c r="E92" s="2" t="s">
        <v>19</v>
      </c>
      <c r="F92" s="2" t="s">
        <v>20</v>
      </c>
      <c r="G92" s="2">
        <v>9</v>
      </c>
      <c r="H92" s="4">
        <v>350</v>
      </c>
    </row>
    <row r="93" spans="1:8" x14ac:dyDescent="0.35">
      <c r="A93" s="2">
        <v>1050</v>
      </c>
      <c r="B93" s="3" t="s">
        <v>39</v>
      </c>
      <c r="C93" s="2" t="s">
        <v>22</v>
      </c>
      <c r="D93" s="2" t="s">
        <v>32</v>
      </c>
      <c r="E93" s="2" t="s">
        <v>57</v>
      </c>
      <c r="F93" s="2" t="s">
        <v>34</v>
      </c>
      <c r="G93" s="2">
        <v>3</v>
      </c>
      <c r="H93" s="4">
        <v>68000</v>
      </c>
    </row>
    <row r="94" spans="1:8" x14ac:dyDescent="0.35">
      <c r="A94" s="2">
        <v>1177</v>
      </c>
      <c r="B94" s="3" t="s">
        <v>119</v>
      </c>
      <c r="C94" s="2" t="s">
        <v>17</v>
      </c>
      <c r="D94" s="2" t="s">
        <v>120</v>
      </c>
      <c r="E94" s="2" t="s">
        <v>15</v>
      </c>
      <c r="F94" s="2" t="s">
        <v>12</v>
      </c>
      <c r="G94" s="2">
        <v>6</v>
      </c>
      <c r="H94" s="4">
        <v>4200</v>
      </c>
    </row>
    <row r="95" spans="1:8" x14ac:dyDescent="0.35">
      <c r="A95" s="2">
        <v>1144</v>
      </c>
      <c r="B95" s="3" t="s">
        <v>121</v>
      </c>
      <c r="C95" s="2" t="s">
        <v>17</v>
      </c>
      <c r="D95" s="2" t="s">
        <v>120</v>
      </c>
      <c r="E95" s="2" t="s">
        <v>33</v>
      </c>
      <c r="F95" s="2" t="s">
        <v>122</v>
      </c>
      <c r="G95" s="2">
        <v>5</v>
      </c>
      <c r="H95" s="4">
        <v>799</v>
      </c>
    </row>
    <row r="96" spans="1:8" x14ac:dyDescent="0.35">
      <c r="A96" s="2">
        <v>1090</v>
      </c>
      <c r="B96" s="3" t="s">
        <v>123</v>
      </c>
      <c r="C96" s="2" t="s">
        <v>25</v>
      </c>
      <c r="D96" s="2" t="s">
        <v>40</v>
      </c>
      <c r="E96" s="2" t="s">
        <v>33</v>
      </c>
      <c r="F96" s="2" t="s">
        <v>34</v>
      </c>
      <c r="G96" s="2">
        <v>12</v>
      </c>
      <c r="H96" s="4">
        <v>799</v>
      </c>
    </row>
    <row r="97" spans="1:8" x14ac:dyDescent="0.35">
      <c r="A97" s="2">
        <v>1025</v>
      </c>
      <c r="B97" s="3" t="s">
        <v>85</v>
      </c>
      <c r="C97" s="2" t="s">
        <v>17</v>
      </c>
      <c r="D97" s="2" t="s">
        <v>18</v>
      </c>
      <c r="E97" s="2" t="s">
        <v>19</v>
      </c>
      <c r="F97" s="2" t="s">
        <v>20</v>
      </c>
      <c r="G97" s="2">
        <v>1</v>
      </c>
      <c r="H97" s="4">
        <v>350</v>
      </c>
    </row>
    <row r="98" spans="1:8" x14ac:dyDescent="0.35">
      <c r="A98" s="2">
        <v>1042</v>
      </c>
      <c r="B98" s="3" t="s">
        <v>115</v>
      </c>
      <c r="C98" s="2" t="s">
        <v>22</v>
      </c>
      <c r="D98" s="2" t="s">
        <v>32</v>
      </c>
      <c r="E98" s="2" t="s">
        <v>53</v>
      </c>
      <c r="F98" s="2" t="s">
        <v>34</v>
      </c>
      <c r="G98" s="2">
        <v>4</v>
      </c>
      <c r="H98" s="4">
        <v>18500</v>
      </c>
    </row>
    <row r="99" spans="1:8" x14ac:dyDescent="0.35">
      <c r="A99" s="2">
        <v>1059</v>
      </c>
      <c r="B99" s="3" t="s">
        <v>94</v>
      </c>
      <c r="C99" s="2" t="s">
        <v>25</v>
      </c>
      <c r="D99" s="2" t="s">
        <v>40</v>
      </c>
      <c r="E99" s="2" t="s">
        <v>69</v>
      </c>
      <c r="F99" s="2" t="s">
        <v>12</v>
      </c>
      <c r="G99" s="2">
        <v>11</v>
      </c>
      <c r="H99" s="4">
        <v>15500</v>
      </c>
    </row>
    <row r="100" spans="1:8" x14ac:dyDescent="0.35">
      <c r="A100" s="2">
        <v>1140</v>
      </c>
      <c r="B100" s="3" t="s">
        <v>110</v>
      </c>
      <c r="C100" s="2" t="s">
        <v>22</v>
      </c>
      <c r="D100" s="2" t="s">
        <v>32</v>
      </c>
      <c r="E100" s="2" t="s">
        <v>69</v>
      </c>
      <c r="F100" s="2" t="s">
        <v>12</v>
      </c>
      <c r="G100" s="2">
        <v>6</v>
      </c>
      <c r="H100" s="4">
        <v>15500</v>
      </c>
    </row>
    <row r="101" spans="1:8" x14ac:dyDescent="0.35">
      <c r="A101" s="2">
        <v>1176</v>
      </c>
      <c r="B101" s="3" t="s">
        <v>124</v>
      </c>
      <c r="C101" s="2" t="s">
        <v>17</v>
      </c>
      <c r="D101" s="2" t="s">
        <v>18</v>
      </c>
      <c r="E101" s="2" t="s">
        <v>11</v>
      </c>
      <c r="F101" s="2" t="s">
        <v>12</v>
      </c>
      <c r="G101" s="2">
        <v>10</v>
      </c>
      <c r="H101" s="4">
        <v>6500</v>
      </c>
    </row>
    <row r="102" spans="1:8" x14ac:dyDescent="0.35">
      <c r="A102" s="2">
        <v>1098</v>
      </c>
      <c r="B102" s="3" t="s">
        <v>107</v>
      </c>
      <c r="C102" s="2" t="s">
        <v>25</v>
      </c>
      <c r="D102" s="2" t="s">
        <v>26</v>
      </c>
      <c r="E102" s="2" t="s">
        <v>69</v>
      </c>
      <c r="F102" s="2" t="s">
        <v>12</v>
      </c>
      <c r="G102" s="2">
        <v>3</v>
      </c>
      <c r="H102" s="4">
        <v>15500</v>
      </c>
    </row>
    <row r="103" spans="1:8" x14ac:dyDescent="0.35">
      <c r="A103" s="2">
        <v>1150</v>
      </c>
      <c r="B103" s="3" t="s">
        <v>95</v>
      </c>
      <c r="C103" s="2" t="s">
        <v>22</v>
      </c>
      <c r="D103" s="2" t="s">
        <v>23</v>
      </c>
      <c r="E103" s="2" t="s">
        <v>69</v>
      </c>
      <c r="F103" s="2" t="s">
        <v>12</v>
      </c>
      <c r="G103" s="2">
        <v>12</v>
      </c>
      <c r="H103" s="4">
        <v>15500</v>
      </c>
    </row>
    <row r="104" spans="1:8" x14ac:dyDescent="0.35">
      <c r="A104" s="2">
        <v>1043</v>
      </c>
      <c r="B104" s="3" t="s">
        <v>125</v>
      </c>
      <c r="C104" s="2" t="s">
        <v>9</v>
      </c>
      <c r="D104" s="2" t="s">
        <v>14</v>
      </c>
      <c r="E104" s="2" t="s">
        <v>42</v>
      </c>
      <c r="F104" s="2" t="s">
        <v>20</v>
      </c>
      <c r="G104" s="2">
        <v>7</v>
      </c>
      <c r="H104" s="4">
        <v>120</v>
      </c>
    </row>
    <row r="105" spans="1:8" x14ac:dyDescent="0.35">
      <c r="A105" s="2">
        <v>1045</v>
      </c>
      <c r="B105" s="3" t="s">
        <v>126</v>
      </c>
      <c r="C105" s="2" t="s">
        <v>25</v>
      </c>
      <c r="D105" s="2" t="s">
        <v>127</v>
      </c>
      <c r="E105" s="2" t="s">
        <v>69</v>
      </c>
      <c r="F105" s="2" t="s">
        <v>12</v>
      </c>
      <c r="G105" s="2">
        <v>4</v>
      </c>
      <c r="H105" s="4">
        <v>15500</v>
      </c>
    </row>
    <row r="106" spans="1:8" x14ac:dyDescent="0.35">
      <c r="A106" s="2">
        <v>1155</v>
      </c>
      <c r="B106" s="3" t="s">
        <v>56</v>
      </c>
      <c r="C106" s="2" t="s">
        <v>25</v>
      </c>
      <c r="D106" s="2" t="s">
        <v>51</v>
      </c>
      <c r="E106" s="2" t="s">
        <v>15</v>
      </c>
      <c r="F106" s="2" t="s">
        <v>12</v>
      </c>
      <c r="G106" s="2">
        <v>8</v>
      </c>
      <c r="H106" s="4">
        <v>4200</v>
      </c>
    </row>
    <row r="107" spans="1:8" x14ac:dyDescent="0.35">
      <c r="A107" s="2">
        <v>1163</v>
      </c>
      <c r="B107" s="3" t="s">
        <v>62</v>
      </c>
      <c r="C107" s="2" t="s">
        <v>71</v>
      </c>
      <c r="D107" s="2" t="s">
        <v>36</v>
      </c>
      <c r="E107" s="2" t="s">
        <v>69</v>
      </c>
      <c r="F107" s="2" t="s">
        <v>12</v>
      </c>
      <c r="G107" s="2">
        <v>3</v>
      </c>
      <c r="H107" s="4">
        <v>15500</v>
      </c>
    </row>
    <row r="108" spans="1:8" x14ac:dyDescent="0.35">
      <c r="A108" s="2">
        <v>1147</v>
      </c>
      <c r="B108" s="3" t="s">
        <v>128</v>
      </c>
      <c r="C108" s="2" t="s">
        <v>17</v>
      </c>
      <c r="D108" s="2" t="s">
        <v>18</v>
      </c>
      <c r="E108" s="2" t="s">
        <v>42</v>
      </c>
      <c r="F108" s="2" t="s">
        <v>20</v>
      </c>
      <c r="G108" s="2">
        <v>12</v>
      </c>
      <c r="H108" s="4">
        <v>120</v>
      </c>
    </row>
    <row r="109" spans="1:8" x14ac:dyDescent="0.35">
      <c r="A109" s="2">
        <v>1020</v>
      </c>
      <c r="B109" s="3" t="s">
        <v>129</v>
      </c>
      <c r="C109" s="2" t="s">
        <v>17</v>
      </c>
      <c r="D109" s="2" t="s">
        <v>29</v>
      </c>
      <c r="E109" s="2" t="s">
        <v>55</v>
      </c>
      <c r="F109" s="2" t="s">
        <v>20</v>
      </c>
      <c r="G109" s="2">
        <v>3</v>
      </c>
      <c r="H109" s="4">
        <v>250</v>
      </c>
    </row>
    <row r="110" spans="1:8" x14ac:dyDescent="0.35">
      <c r="A110" s="2">
        <v>1135</v>
      </c>
      <c r="B110" s="3" t="s">
        <v>130</v>
      </c>
      <c r="C110" s="2" t="s">
        <v>25</v>
      </c>
      <c r="D110" s="2" t="s">
        <v>40</v>
      </c>
      <c r="E110" s="2" t="s">
        <v>11</v>
      </c>
      <c r="F110" s="2" t="s">
        <v>12</v>
      </c>
      <c r="G110" s="2">
        <v>7</v>
      </c>
      <c r="H110" s="4">
        <v>6500</v>
      </c>
    </row>
    <row r="111" spans="1:8" x14ac:dyDescent="0.35">
      <c r="A111" s="2">
        <v>1085</v>
      </c>
      <c r="B111" s="3" t="s">
        <v>131</v>
      </c>
      <c r="C111" s="2" t="s">
        <v>22</v>
      </c>
      <c r="D111" s="2" t="s">
        <v>32</v>
      </c>
      <c r="E111" s="2" t="s">
        <v>57</v>
      </c>
      <c r="F111" s="2" t="s">
        <v>34</v>
      </c>
      <c r="G111" s="2">
        <v>2</v>
      </c>
      <c r="H111" s="4">
        <v>68000</v>
      </c>
    </row>
    <row r="112" spans="1:8" x14ac:dyDescent="0.35">
      <c r="A112" s="2">
        <v>1162</v>
      </c>
      <c r="B112" s="3" t="s">
        <v>132</v>
      </c>
      <c r="C112" s="2" t="s">
        <v>9</v>
      </c>
      <c r="D112" s="2" t="s">
        <v>36</v>
      </c>
      <c r="E112" s="2" t="s">
        <v>69</v>
      </c>
      <c r="F112" s="2" t="s">
        <v>12</v>
      </c>
      <c r="G112" s="2"/>
      <c r="H112" s="4">
        <v>15500</v>
      </c>
    </row>
    <row r="113" spans="1:8" x14ac:dyDescent="0.35">
      <c r="A113" s="2">
        <v>1076</v>
      </c>
      <c r="B113" s="3" t="s">
        <v>89</v>
      </c>
      <c r="C113" s="2" t="s">
        <v>9</v>
      </c>
      <c r="D113" s="2" t="s">
        <v>14</v>
      </c>
      <c r="E113" s="2" t="s">
        <v>19</v>
      </c>
      <c r="F113" s="2" t="s">
        <v>20</v>
      </c>
      <c r="G113" s="2">
        <v>7</v>
      </c>
      <c r="H113" s="4">
        <v>350</v>
      </c>
    </row>
    <row r="114" spans="1:8" x14ac:dyDescent="0.35">
      <c r="A114" s="2">
        <v>1108</v>
      </c>
      <c r="B114" s="3" t="s">
        <v>133</v>
      </c>
      <c r="C114" s="2" t="s">
        <v>17</v>
      </c>
      <c r="D114" s="2" t="s">
        <v>29</v>
      </c>
      <c r="E114" s="2" t="s">
        <v>55</v>
      </c>
      <c r="F114" s="2" t="s">
        <v>20</v>
      </c>
      <c r="G114" s="2">
        <v>8</v>
      </c>
      <c r="H114" s="4">
        <v>250</v>
      </c>
    </row>
    <row r="115" spans="1:8" x14ac:dyDescent="0.35">
      <c r="A115" s="2">
        <v>1039</v>
      </c>
      <c r="B115" s="3" t="s">
        <v>134</v>
      </c>
      <c r="C115" s="2" t="s">
        <v>9</v>
      </c>
      <c r="D115" s="2" t="s">
        <v>36</v>
      </c>
      <c r="E115" s="2" t="s">
        <v>33</v>
      </c>
      <c r="F115" s="2" t="s">
        <v>34</v>
      </c>
      <c r="G115" s="2">
        <v>1</v>
      </c>
      <c r="H115" s="4">
        <v>799</v>
      </c>
    </row>
    <row r="116" spans="1:8" x14ac:dyDescent="0.35">
      <c r="A116" s="2">
        <v>1170</v>
      </c>
      <c r="B116" s="3" t="s">
        <v>135</v>
      </c>
      <c r="C116" s="2" t="s">
        <v>25</v>
      </c>
      <c r="D116" s="2" t="s">
        <v>40</v>
      </c>
      <c r="E116" s="2" t="s">
        <v>33</v>
      </c>
      <c r="F116" s="2" t="s">
        <v>122</v>
      </c>
      <c r="G116" s="2">
        <v>8</v>
      </c>
      <c r="H116" s="4">
        <v>799</v>
      </c>
    </row>
    <row r="117" spans="1:8" x14ac:dyDescent="0.35">
      <c r="A117" s="2">
        <v>1037</v>
      </c>
      <c r="B117" s="3" t="s">
        <v>31</v>
      </c>
      <c r="C117" s="2" t="s">
        <v>76</v>
      </c>
      <c r="D117" s="2" t="s">
        <v>23</v>
      </c>
      <c r="E117" s="2" t="s">
        <v>33</v>
      </c>
      <c r="F117" s="2" t="s">
        <v>34</v>
      </c>
      <c r="G117" s="2">
        <v>6</v>
      </c>
      <c r="H117" s="4">
        <v>799</v>
      </c>
    </row>
    <row r="118" spans="1:8" x14ac:dyDescent="0.35">
      <c r="A118" s="2">
        <v>1178</v>
      </c>
      <c r="B118" s="3" t="s">
        <v>99</v>
      </c>
      <c r="C118" s="2" t="s">
        <v>25</v>
      </c>
      <c r="D118" s="2" t="s">
        <v>40</v>
      </c>
      <c r="E118" s="2" t="s">
        <v>33</v>
      </c>
      <c r="F118" s="2" t="s">
        <v>34</v>
      </c>
      <c r="G118" s="2">
        <v>3</v>
      </c>
      <c r="H118" s="4">
        <v>799</v>
      </c>
    </row>
    <row r="119" spans="1:8" x14ac:dyDescent="0.35">
      <c r="A119" s="2">
        <v>1174</v>
      </c>
      <c r="B119" s="3" t="s">
        <v>136</v>
      </c>
      <c r="C119" s="2" t="s">
        <v>9</v>
      </c>
      <c r="D119" s="2" t="s">
        <v>36</v>
      </c>
      <c r="E119" s="2" t="s">
        <v>59</v>
      </c>
      <c r="F119" s="2" t="s">
        <v>34</v>
      </c>
      <c r="G119" s="2">
        <v>10</v>
      </c>
      <c r="H119" s="4">
        <v>2999</v>
      </c>
    </row>
    <row r="120" spans="1:8" x14ac:dyDescent="0.35">
      <c r="A120" s="2">
        <v>1130</v>
      </c>
      <c r="B120" s="3" t="s">
        <v>136</v>
      </c>
      <c r="C120" s="2" t="s">
        <v>25</v>
      </c>
      <c r="D120" s="2" t="s">
        <v>40</v>
      </c>
      <c r="E120" s="2" t="s">
        <v>53</v>
      </c>
      <c r="F120" s="2" t="s">
        <v>34</v>
      </c>
      <c r="G120" s="2">
        <v>12</v>
      </c>
      <c r="H120" s="4">
        <v>18500</v>
      </c>
    </row>
    <row r="121" spans="1:8" x14ac:dyDescent="0.35">
      <c r="A121" s="2">
        <v>1093</v>
      </c>
      <c r="B121" s="3" t="s">
        <v>123</v>
      </c>
      <c r="C121" s="2" t="s">
        <v>17</v>
      </c>
      <c r="D121" s="2" t="s">
        <v>29</v>
      </c>
      <c r="E121" s="2" t="s">
        <v>59</v>
      </c>
      <c r="F121" s="2" t="s">
        <v>34</v>
      </c>
      <c r="G121" s="2"/>
      <c r="H121" s="4">
        <v>2999</v>
      </c>
    </row>
    <row r="122" spans="1:8" x14ac:dyDescent="0.35">
      <c r="A122" s="2">
        <v>1101</v>
      </c>
      <c r="B122" s="3" t="s">
        <v>114</v>
      </c>
      <c r="C122" s="2" t="s">
        <v>17</v>
      </c>
      <c r="D122" s="2" t="s">
        <v>18</v>
      </c>
      <c r="E122" s="2" t="s">
        <v>53</v>
      </c>
      <c r="F122" s="2" t="s">
        <v>34</v>
      </c>
      <c r="G122" s="2">
        <v>4</v>
      </c>
      <c r="H122" s="4">
        <v>18500</v>
      </c>
    </row>
    <row r="123" spans="1:8" x14ac:dyDescent="0.35">
      <c r="A123" s="2">
        <v>1120</v>
      </c>
      <c r="B123" s="3" t="s">
        <v>62</v>
      </c>
      <c r="C123" s="2" t="s">
        <v>9</v>
      </c>
      <c r="D123" s="2" t="s">
        <v>36</v>
      </c>
      <c r="E123" s="2" t="s">
        <v>137</v>
      </c>
      <c r="F123" s="2" t="s">
        <v>34</v>
      </c>
      <c r="G123" s="2">
        <v>3</v>
      </c>
      <c r="H123" s="4">
        <v>18500</v>
      </c>
    </row>
    <row r="124" spans="1:8" x14ac:dyDescent="0.35">
      <c r="A124" s="2">
        <v>1044</v>
      </c>
      <c r="B124" s="3" t="s">
        <v>106</v>
      </c>
      <c r="C124" s="2" t="s">
        <v>17</v>
      </c>
      <c r="D124" s="2" t="s">
        <v>29</v>
      </c>
      <c r="E124" s="2" t="s">
        <v>33</v>
      </c>
      <c r="F124" s="2" t="s">
        <v>34</v>
      </c>
      <c r="G124" s="2">
        <v>1</v>
      </c>
      <c r="H124" s="4">
        <v>799</v>
      </c>
    </row>
    <row r="125" spans="1:8" x14ac:dyDescent="0.35">
      <c r="A125" s="2">
        <v>1054</v>
      </c>
      <c r="B125" s="3" t="s">
        <v>138</v>
      </c>
      <c r="C125" s="2" t="s">
        <v>9</v>
      </c>
      <c r="D125" s="2" t="s">
        <v>14</v>
      </c>
      <c r="E125" s="2" t="s">
        <v>57</v>
      </c>
      <c r="F125" s="2" t="s">
        <v>34</v>
      </c>
      <c r="G125" s="2">
        <v>1</v>
      </c>
      <c r="H125" s="4">
        <v>68000</v>
      </c>
    </row>
    <row r="126" spans="1:8" x14ac:dyDescent="0.35">
      <c r="A126" s="2">
        <v>1110</v>
      </c>
      <c r="B126" s="3" t="s">
        <v>139</v>
      </c>
      <c r="C126" s="2" t="s">
        <v>9</v>
      </c>
      <c r="D126" s="2" t="s">
        <v>36</v>
      </c>
      <c r="E126" s="2" t="s">
        <v>11</v>
      </c>
      <c r="F126" s="2" t="s">
        <v>12</v>
      </c>
      <c r="G126" s="2">
        <v>4</v>
      </c>
      <c r="H126" s="4">
        <v>6500</v>
      </c>
    </row>
    <row r="127" spans="1:8" x14ac:dyDescent="0.35">
      <c r="A127" s="2">
        <v>1102</v>
      </c>
      <c r="B127" s="3" t="s">
        <v>140</v>
      </c>
      <c r="C127" s="2" t="s">
        <v>9</v>
      </c>
      <c r="D127" s="2" t="s">
        <v>36</v>
      </c>
      <c r="E127" s="2" t="s">
        <v>53</v>
      </c>
      <c r="F127" s="2" t="s">
        <v>34</v>
      </c>
      <c r="G127" s="2">
        <v>4</v>
      </c>
      <c r="H127" s="4">
        <v>18500</v>
      </c>
    </row>
    <row r="128" spans="1:8" x14ac:dyDescent="0.35">
      <c r="A128" s="2">
        <v>1179</v>
      </c>
      <c r="B128" s="3" t="s">
        <v>141</v>
      </c>
      <c r="C128" s="2" t="s">
        <v>17</v>
      </c>
      <c r="D128" s="2" t="s">
        <v>18</v>
      </c>
      <c r="E128" s="2" t="s">
        <v>55</v>
      </c>
      <c r="F128" s="2" t="s">
        <v>20</v>
      </c>
      <c r="G128" s="2">
        <v>11</v>
      </c>
      <c r="H128" s="4">
        <v>250</v>
      </c>
    </row>
    <row r="129" spans="1:8" x14ac:dyDescent="0.35">
      <c r="A129" s="2">
        <v>1071</v>
      </c>
      <c r="B129" s="3" t="s">
        <v>142</v>
      </c>
      <c r="C129" s="2" t="s">
        <v>25</v>
      </c>
      <c r="D129" s="2" t="s">
        <v>26</v>
      </c>
      <c r="E129" s="2" t="s">
        <v>15</v>
      </c>
      <c r="F129" s="2" t="s">
        <v>12</v>
      </c>
      <c r="G129" s="2">
        <v>9</v>
      </c>
      <c r="H129" s="4">
        <v>4200</v>
      </c>
    </row>
    <row r="130" spans="1:8" x14ac:dyDescent="0.35">
      <c r="A130" s="2">
        <v>1018</v>
      </c>
      <c r="B130" s="3" t="s">
        <v>143</v>
      </c>
      <c r="C130" s="2" t="s">
        <v>25</v>
      </c>
      <c r="D130" s="2" t="s">
        <v>40</v>
      </c>
      <c r="E130" s="2" t="s">
        <v>47</v>
      </c>
      <c r="F130" s="2" t="s">
        <v>20</v>
      </c>
      <c r="G130" s="2">
        <v>2</v>
      </c>
      <c r="H130" s="4">
        <v>250</v>
      </c>
    </row>
    <row r="131" spans="1:8" x14ac:dyDescent="0.35">
      <c r="A131" s="2">
        <v>1035</v>
      </c>
      <c r="B131" s="3" t="s">
        <v>46</v>
      </c>
      <c r="C131" s="2" t="s">
        <v>22</v>
      </c>
      <c r="D131" s="2" t="s">
        <v>32</v>
      </c>
      <c r="E131" s="2" t="s">
        <v>137</v>
      </c>
      <c r="F131" s="2" t="s">
        <v>34</v>
      </c>
      <c r="G131" s="2">
        <v>11</v>
      </c>
      <c r="H131" s="4">
        <v>18500</v>
      </c>
    </row>
    <row r="132" spans="1:8" x14ac:dyDescent="0.35">
      <c r="A132" s="2">
        <v>1172</v>
      </c>
      <c r="B132" s="3" t="s">
        <v>138</v>
      </c>
      <c r="C132" s="2" t="s">
        <v>28</v>
      </c>
      <c r="D132" s="2" t="s">
        <v>18</v>
      </c>
      <c r="E132" s="2" t="s">
        <v>33</v>
      </c>
      <c r="F132" s="2" t="s">
        <v>34</v>
      </c>
      <c r="G132" s="2">
        <v>10</v>
      </c>
      <c r="H132" s="4">
        <v>799</v>
      </c>
    </row>
    <row r="133" spans="1:8" x14ac:dyDescent="0.35">
      <c r="A133" s="2">
        <v>1099</v>
      </c>
      <c r="B133" s="3" t="s">
        <v>136</v>
      </c>
      <c r="C133" s="2" t="s">
        <v>9</v>
      </c>
      <c r="D133" s="2" t="s">
        <v>36</v>
      </c>
      <c r="E133" s="2" t="s">
        <v>15</v>
      </c>
      <c r="F133" s="2" t="s">
        <v>12</v>
      </c>
      <c r="G133" s="2">
        <v>10</v>
      </c>
      <c r="H133" s="4">
        <v>4200</v>
      </c>
    </row>
    <row r="134" spans="1:8" x14ac:dyDescent="0.35">
      <c r="A134" s="2">
        <v>1038</v>
      </c>
      <c r="B134" s="3" t="s">
        <v>144</v>
      </c>
      <c r="C134" s="2" t="s">
        <v>22</v>
      </c>
      <c r="D134" s="2" t="s">
        <v>23</v>
      </c>
      <c r="E134" s="2" t="s">
        <v>57</v>
      </c>
      <c r="F134" s="2" t="s">
        <v>34</v>
      </c>
      <c r="G134" s="2">
        <v>2</v>
      </c>
      <c r="H134" s="4">
        <v>68000</v>
      </c>
    </row>
    <row r="135" spans="1:8" x14ac:dyDescent="0.35">
      <c r="A135" s="2">
        <v>1117</v>
      </c>
      <c r="B135" s="3" t="s">
        <v>119</v>
      </c>
      <c r="C135" s="2" t="s">
        <v>17</v>
      </c>
      <c r="D135" s="2" t="s">
        <v>29</v>
      </c>
      <c r="E135" s="2" t="s">
        <v>53</v>
      </c>
      <c r="F135" s="2" t="s">
        <v>34</v>
      </c>
      <c r="G135" s="2">
        <v>6</v>
      </c>
      <c r="H135" s="4">
        <v>18500</v>
      </c>
    </row>
    <row r="136" spans="1:8" x14ac:dyDescent="0.35">
      <c r="A136" s="2">
        <v>1063</v>
      </c>
      <c r="B136" s="3" t="s">
        <v>104</v>
      </c>
      <c r="C136" s="2" t="s">
        <v>25</v>
      </c>
      <c r="D136" s="2" t="s">
        <v>26</v>
      </c>
      <c r="E136" s="2" t="s">
        <v>42</v>
      </c>
      <c r="F136" s="2" t="s">
        <v>20</v>
      </c>
      <c r="G136" s="2">
        <v>2</v>
      </c>
      <c r="H136" s="4">
        <v>120</v>
      </c>
    </row>
    <row r="137" spans="1:8" x14ac:dyDescent="0.35">
      <c r="A137" s="2">
        <v>1121</v>
      </c>
      <c r="B137" s="3" t="s">
        <v>145</v>
      </c>
      <c r="C137" s="2" t="s">
        <v>22</v>
      </c>
      <c r="D137" s="2" t="s">
        <v>23</v>
      </c>
      <c r="E137" s="2" t="s">
        <v>55</v>
      </c>
      <c r="F137" s="2" t="s">
        <v>20</v>
      </c>
      <c r="G137" s="2">
        <v>7</v>
      </c>
      <c r="H137" s="4">
        <v>250</v>
      </c>
    </row>
    <row r="138" spans="1:8" x14ac:dyDescent="0.35">
      <c r="A138" s="2">
        <v>1124</v>
      </c>
      <c r="B138" s="3" t="s">
        <v>146</v>
      </c>
      <c r="C138" s="2" t="s">
        <v>9</v>
      </c>
      <c r="D138" s="2" t="s">
        <v>36</v>
      </c>
      <c r="E138" s="2" t="s">
        <v>42</v>
      </c>
      <c r="F138" s="2" t="s">
        <v>20</v>
      </c>
      <c r="G138" s="2">
        <v>4</v>
      </c>
      <c r="H138" s="4">
        <v>120</v>
      </c>
    </row>
    <row r="139" spans="1:8" x14ac:dyDescent="0.35">
      <c r="A139" s="2">
        <v>1107</v>
      </c>
      <c r="B139" s="3" t="s">
        <v>115</v>
      </c>
      <c r="C139" s="2" t="s">
        <v>17</v>
      </c>
      <c r="D139" s="2" t="s">
        <v>18</v>
      </c>
      <c r="E139" s="2" t="s">
        <v>69</v>
      </c>
      <c r="F139" s="2" t="s">
        <v>12</v>
      </c>
      <c r="G139" s="2">
        <v>11</v>
      </c>
      <c r="H139" s="4">
        <v>15500</v>
      </c>
    </row>
    <row r="140" spans="1:8" x14ac:dyDescent="0.35">
      <c r="A140" s="2">
        <v>1070</v>
      </c>
      <c r="B140" s="3" t="s">
        <v>147</v>
      </c>
      <c r="C140" s="2" t="s">
        <v>25</v>
      </c>
      <c r="D140" s="2" t="s">
        <v>26</v>
      </c>
      <c r="E140" s="2" t="s">
        <v>57</v>
      </c>
      <c r="F140" s="2" t="s">
        <v>34</v>
      </c>
      <c r="G140" s="2"/>
      <c r="H140" s="4">
        <v>68000</v>
      </c>
    </row>
    <row r="141" spans="1:8" x14ac:dyDescent="0.35">
      <c r="A141" s="2">
        <v>1131</v>
      </c>
      <c r="B141" s="3" t="s">
        <v>148</v>
      </c>
      <c r="C141" s="2" t="s">
        <v>9</v>
      </c>
      <c r="D141" s="2" t="s">
        <v>36</v>
      </c>
      <c r="E141" s="2" t="s">
        <v>33</v>
      </c>
      <c r="F141" s="2" t="s">
        <v>122</v>
      </c>
      <c r="G141" s="2">
        <v>12</v>
      </c>
      <c r="H141" s="4">
        <v>799</v>
      </c>
    </row>
    <row r="142" spans="1:8" x14ac:dyDescent="0.35">
      <c r="A142" s="2">
        <v>1075</v>
      </c>
      <c r="B142" s="3" t="s">
        <v>149</v>
      </c>
      <c r="C142" s="2" t="s">
        <v>9</v>
      </c>
      <c r="D142" s="2" t="s">
        <v>14</v>
      </c>
      <c r="E142" s="2" t="s">
        <v>69</v>
      </c>
      <c r="F142" s="2" t="s">
        <v>12</v>
      </c>
      <c r="G142" s="2">
        <v>11</v>
      </c>
      <c r="H142" s="4">
        <v>15500</v>
      </c>
    </row>
    <row r="143" spans="1:8" x14ac:dyDescent="0.35">
      <c r="A143" s="2">
        <v>1168</v>
      </c>
      <c r="B143" s="3" t="s">
        <v>74</v>
      </c>
      <c r="C143" s="2" t="s">
        <v>22</v>
      </c>
      <c r="D143" s="2" t="s">
        <v>23</v>
      </c>
      <c r="E143" s="2" t="s">
        <v>55</v>
      </c>
      <c r="F143" s="2" t="s">
        <v>20</v>
      </c>
      <c r="G143" s="2">
        <v>3</v>
      </c>
      <c r="H143" s="4">
        <v>250</v>
      </c>
    </row>
    <row r="144" spans="1:8" x14ac:dyDescent="0.35">
      <c r="A144" s="2">
        <v>1040</v>
      </c>
      <c r="B144" s="3" t="s">
        <v>141</v>
      </c>
      <c r="C144" s="2" t="s">
        <v>9</v>
      </c>
      <c r="D144" s="2" t="s">
        <v>36</v>
      </c>
      <c r="E144" s="2" t="s">
        <v>55</v>
      </c>
      <c r="F144" s="2" t="s">
        <v>66</v>
      </c>
      <c r="G144" s="2">
        <v>11</v>
      </c>
      <c r="H144" s="4">
        <v>250</v>
      </c>
    </row>
    <row r="145" spans="1:8" x14ac:dyDescent="0.35">
      <c r="A145" s="2">
        <v>1031</v>
      </c>
      <c r="B145" s="3" t="s">
        <v>150</v>
      </c>
      <c r="C145" s="2" t="s">
        <v>25</v>
      </c>
      <c r="D145" s="2" t="s">
        <v>40</v>
      </c>
      <c r="E145" s="2" t="s">
        <v>69</v>
      </c>
      <c r="F145" s="2" t="s">
        <v>12</v>
      </c>
      <c r="G145" s="2">
        <v>1</v>
      </c>
      <c r="H145" s="4">
        <v>15500</v>
      </c>
    </row>
    <row r="146" spans="1:8" x14ac:dyDescent="0.35">
      <c r="A146" s="2">
        <v>1175</v>
      </c>
      <c r="B146" s="3" t="s">
        <v>144</v>
      </c>
      <c r="C146" s="2" t="s">
        <v>25</v>
      </c>
      <c r="D146" s="2" t="s">
        <v>26</v>
      </c>
      <c r="E146" s="2" t="s">
        <v>11</v>
      </c>
      <c r="F146" s="2" t="s">
        <v>12</v>
      </c>
      <c r="G146" s="2">
        <v>8</v>
      </c>
      <c r="H146" s="4">
        <v>6500</v>
      </c>
    </row>
    <row r="147" spans="1:8" x14ac:dyDescent="0.35">
      <c r="A147" s="2">
        <v>1016</v>
      </c>
      <c r="B147" s="3" t="s">
        <v>81</v>
      </c>
      <c r="C147" s="2" t="s">
        <v>22</v>
      </c>
      <c r="D147" s="2" t="s">
        <v>23</v>
      </c>
      <c r="E147" s="2" t="s">
        <v>15</v>
      </c>
      <c r="F147" s="2" t="s">
        <v>12</v>
      </c>
      <c r="G147" s="2">
        <v>7</v>
      </c>
      <c r="H147" s="4">
        <v>4200</v>
      </c>
    </row>
    <row r="148" spans="1:8" x14ac:dyDescent="0.35">
      <c r="A148" s="2">
        <v>1058</v>
      </c>
      <c r="B148" s="3" t="s">
        <v>89</v>
      </c>
      <c r="C148" s="2" t="s">
        <v>9</v>
      </c>
      <c r="D148" s="2" t="s">
        <v>36</v>
      </c>
      <c r="E148" s="2" t="s">
        <v>53</v>
      </c>
      <c r="F148" s="2" t="s">
        <v>34</v>
      </c>
      <c r="G148" s="2">
        <v>11</v>
      </c>
      <c r="H148" s="4">
        <v>18500</v>
      </c>
    </row>
    <row r="149" spans="1:8" x14ac:dyDescent="0.35">
      <c r="A149" s="2">
        <v>1024</v>
      </c>
      <c r="B149" s="3" t="s">
        <v>151</v>
      </c>
      <c r="C149" s="2" t="s">
        <v>17</v>
      </c>
      <c r="D149" s="2" t="s">
        <v>29</v>
      </c>
      <c r="E149" s="2" t="s">
        <v>53</v>
      </c>
      <c r="F149" s="2" t="s">
        <v>34</v>
      </c>
      <c r="G149" s="2"/>
      <c r="H149" s="4">
        <v>18500</v>
      </c>
    </row>
    <row r="150" spans="1:8" x14ac:dyDescent="0.35">
      <c r="A150" s="2">
        <v>1105</v>
      </c>
      <c r="B150" s="3" t="s">
        <v>152</v>
      </c>
      <c r="C150" s="2" t="s">
        <v>25</v>
      </c>
      <c r="D150" s="2" t="s">
        <v>40</v>
      </c>
      <c r="E150" s="2" t="s">
        <v>59</v>
      </c>
      <c r="F150" s="2" t="s">
        <v>122</v>
      </c>
      <c r="G150" s="2">
        <v>12</v>
      </c>
      <c r="H150" s="4">
        <v>2999</v>
      </c>
    </row>
    <row r="151" spans="1:8" x14ac:dyDescent="0.35">
      <c r="A151" s="2">
        <v>1152</v>
      </c>
      <c r="B151" s="3" t="s">
        <v>45</v>
      </c>
      <c r="C151" s="2" t="s">
        <v>22</v>
      </c>
      <c r="D151" s="2" t="s">
        <v>32</v>
      </c>
      <c r="E151" s="2" t="s">
        <v>11</v>
      </c>
      <c r="F151" s="2" t="s">
        <v>12</v>
      </c>
      <c r="G151" s="2">
        <v>5</v>
      </c>
      <c r="H151" s="4">
        <v>6500</v>
      </c>
    </row>
    <row r="152" spans="1:8" x14ac:dyDescent="0.35">
      <c r="A152" s="2">
        <v>1004</v>
      </c>
      <c r="B152" s="3" t="s">
        <v>153</v>
      </c>
      <c r="C152" s="2" t="s">
        <v>22</v>
      </c>
      <c r="D152" s="2" t="s">
        <v>23</v>
      </c>
      <c r="E152" s="2" t="s">
        <v>19</v>
      </c>
      <c r="F152" s="2" t="s">
        <v>20</v>
      </c>
      <c r="G152" s="2">
        <v>4</v>
      </c>
      <c r="H152" s="4">
        <v>350</v>
      </c>
    </row>
    <row r="153" spans="1:8" x14ac:dyDescent="0.35">
      <c r="A153" s="2">
        <v>1142</v>
      </c>
      <c r="B153" s="3" t="s">
        <v>133</v>
      </c>
      <c r="C153" s="2" t="s">
        <v>9</v>
      </c>
      <c r="D153" s="2" t="s">
        <v>36</v>
      </c>
      <c r="E153" s="2" t="s">
        <v>33</v>
      </c>
      <c r="F153" s="2" t="s">
        <v>34</v>
      </c>
      <c r="G153" s="2">
        <v>4</v>
      </c>
      <c r="H153" s="4">
        <v>799</v>
      </c>
    </row>
    <row r="154" spans="1:8" x14ac:dyDescent="0.35">
      <c r="A154" s="2">
        <v>1080</v>
      </c>
      <c r="B154" s="3" t="s">
        <v>64</v>
      </c>
      <c r="C154" s="2" t="s">
        <v>17</v>
      </c>
      <c r="D154" s="2" t="s">
        <v>29</v>
      </c>
      <c r="E154" s="2" t="s">
        <v>15</v>
      </c>
      <c r="F154" s="2" t="s">
        <v>12</v>
      </c>
      <c r="G154" s="2">
        <v>4</v>
      </c>
      <c r="H154" s="4">
        <v>4200</v>
      </c>
    </row>
    <row r="155" spans="1:8" x14ac:dyDescent="0.35">
      <c r="A155" s="2">
        <v>1041</v>
      </c>
      <c r="B155" s="3" t="s">
        <v>154</v>
      </c>
      <c r="C155" s="2" t="s">
        <v>22</v>
      </c>
      <c r="D155" s="2" t="s">
        <v>23</v>
      </c>
      <c r="E155" s="2" t="s">
        <v>59</v>
      </c>
      <c r="F155" s="2" t="s">
        <v>34</v>
      </c>
      <c r="G155" s="2">
        <v>10</v>
      </c>
      <c r="H155" s="4">
        <v>2999</v>
      </c>
    </row>
    <row r="156" spans="1:8" x14ac:dyDescent="0.35">
      <c r="A156" s="2">
        <v>1062</v>
      </c>
      <c r="B156" s="3" t="s">
        <v>155</v>
      </c>
      <c r="C156" s="2" t="s">
        <v>17</v>
      </c>
      <c r="D156" s="2" t="s">
        <v>29</v>
      </c>
      <c r="E156" s="2" t="s">
        <v>33</v>
      </c>
      <c r="F156" s="2" t="s">
        <v>34</v>
      </c>
      <c r="G156" s="2">
        <v>9</v>
      </c>
      <c r="H156" s="4">
        <v>799</v>
      </c>
    </row>
    <row r="157" spans="1:8" x14ac:dyDescent="0.35">
      <c r="A157" s="2">
        <v>1008</v>
      </c>
      <c r="B157" s="3" t="s">
        <v>8</v>
      </c>
      <c r="C157" s="2" t="s">
        <v>17</v>
      </c>
      <c r="D157" s="2" t="s">
        <v>29</v>
      </c>
      <c r="E157" s="2" t="s">
        <v>42</v>
      </c>
      <c r="F157" s="2" t="s">
        <v>20</v>
      </c>
      <c r="G157" s="2">
        <v>6</v>
      </c>
      <c r="H157" s="4">
        <v>120</v>
      </c>
    </row>
    <row r="158" spans="1:8" x14ac:dyDescent="0.35">
      <c r="A158" s="2">
        <v>1032</v>
      </c>
      <c r="B158" s="3" t="s">
        <v>156</v>
      </c>
      <c r="C158" s="2" t="s">
        <v>9</v>
      </c>
      <c r="D158" s="2" t="s">
        <v>36</v>
      </c>
      <c r="E158" s="2" t="s">
        <v>15</v>
      </c>
      <c r="F158" s="2" t="s">
        <v>12</v>
      </c>
      <c r="G158" s="2">
        <v>2</v>
      </c>
      <c r="H158" s="4">
        <v>4200</v>
      </c>
    </row>
    <row r="159" spans="1:8" x14ac:dyDescent="0.35">
      <c r="A159" s="2">
        <v>1125</v>
      </c>
      <c r="B159" s="3" t="s">
        <v>44</v>
      </c>
      <c r="C159" s="2" t="s">
        <v>9</v>
      </c>
      <c r="D159" s="2" t="s">
        <v>36</v>
      </c>
      <c r="E159" s="2" t="s">
        <v>57</v>
      </c>
      <c r="F159" s="2" t="s">
        <v>34</v>
      </c>
      <c r="G159" s="2">
        <v>4</v>
      </c>
      <c r="H159" s="4">
        <v>68000</v>
      </c>
    </row>
    <row r="160" spans="1:8" x14ac:dyDescent="0.35">
      <c r="A160" s="2">
        <v>1113</v>
      </c>
      <c r="B160" s="3" t="s">
        <v>157</v>
      </c>
      <c r="C160" s="2" t="s">
        <v>17</v>
      </c>
      <c r="D160" s="2" t="s">
        <v>18</v>
      </c>
      <c r="E160" s="2" t="s">
        <v>59</v>
      </c>
      <c r="F160" s="2" t="s">
        <v>34</v>
      </c>
      <c r="G160" s="2">
        <v>12</v>
      </c>
      <c r="H160" s="4">
        <v>2999</v>
      </c>
    </row>
    <row r="161" spans="1:8" x14ac:dyDescent="0.35">
      <c r="A161" s="2">
        <v>1074</v>
      </c>
      <c r="B161" s="3" t="s">
        <v>140</v>
      </c>
      <c r="C161" s="2" t="s">
        <v>17</v>
      </c>
      <c r="D161" s="2" t="s">
        <v>29</v>
      </c>
      <c r="E161" s="2" t="s">
        <v>57</v>
      </c>
      <c r="F161" s="2" t="s">
        <v>34</v>
      </c>
      <c r="G161" s="2">
        <v>5</v>
      </c>
      <c r="H161" s="4">
        <v>68000</v>
      </c>
    </row>
    <row r="162" spans="1:8" x14ac:dyDescent="0.35">
      <c r="A162" s="2">
        <v>1034</v>
      </c>
      <c r="B162" s="3" t="s">
        <v>158</v>
      </c>
      <c r="C162" s="2" t="s">
        <v>25</v>
      </c>
      <c r="D162" s="2" t="s">
        <v>51</v>
      </c>
      <c r="E162" s="2" t="s">
        <v>69</v>
      </c>
      <c r="F162" s="2" t="s">
        <v>12</v>
      </c>
      <c r="G162" s="2">
        <v>9</v>
      </c>
      <c r="H162" s="4">
        <v>15500</v>
      </c>
    </row>
    <row r="163" spans="1:8" x14ac:dyDescent="0.35">
      <c r="A163" s="2">
        <v>1141</v>
      </c>
      <c r="B163" s="3" t="s">
        <v>131</v>
      </c>
      <c r="C163" s="2" t="s">
        <v>25</v>
      </c>
      <c r="D163" s="2" t="s">
        <v>40</v>
      </c>
      <c r="E163" s="2" t="s">
        <v>59</v>
      </c>
      <c r="F163" s="2" t="s">
        <v>34</v>
      </c>
      <c r="G163" s="2">
        <v>12</v>
      </c>
      <c r="H163" s="4">
        <v>2999</v>
      </c>
    </row>
    <row r="164" spans="1:8" x14ac:dyDescent="0.35">
      <c r="A164" s="2">
        <v>1069</v>
      </c>
      <c r="B164" s="3" t="s">
        <v>121</v>
      </c>
      <c r="C164" s="2" t="s">
        <v>25</v>
      </c>
      <c r="D164" s="2" t="s">
        <v>26</v>
      </c>
      <c r="E164" s="2" t="s">
        <v>159</v>
      </c>
      <c r="F164" s="2" t="s">
        <v>34</v>
      </c>
      <c r="G164" s="2">
        <v>11</v>
      </c>
      <c r="H164" s="4">
        <v>799</v>
      </c>
    </row>
    <row r="165" spans="1:8" x14ac:dyDescent="0.35">
      <c r="A165" s="2">
        <v>1053</v>
      </c>
      <c r="B165" s="3" t="s">
        <v>45</v>
      </c>
      <c r="C165" s="2" t="s">
        <v>22</v>
      </c>
      <c r="D165" s="2" t="s">
        <v>23</v>
      </c>
      <c r="E165" s="2" t="s">
        <v>59</v>
      </c>
      <c r="F165" s="2" t="s">
        <v>122</v>
      </c>
      <c r="G165" s="2">
        <v>12</v>
      </c>
      <c r="H165" s="4">
        <v>2999</v>
      </c>
    </row>
    <row r="166" spans="1:8" x14ac:dyDescent="0.35">
      <c r="A166" s="2">
        <v>1173</v>
      </c>
      <c r="B166" s="3" t="s">
        <v>160</v>
      </c>
      <c r="C166" s="2" t="s">
        <v>17</v>
      </c>
      <c r="D166" s="2" t="s">
        <v>18</v>
      </c>
      <c r="E166" s="2" t="s">
        <v>59</v>
      </c>
      <c r="F166" s="2" t="s">
        <v>34</v>
      </c>
      <c r="G166" s="2">
        <v>5</v>
      </c>
      <c r="H166" s="4">
        <v>2999</v>
      </c>
    </row>
    <row r="167" spans="1:8" x14ac:dyDescent="0.35">
      <c r="A167" s="2">
        <v>1114</v>
      </c>
      <c r="B167" s="3" t="s">
        <v>144</v>
      </c>
      <c r="C167" s="2" t="s">
        <v>17</v>
      </c>
      <c r="D167" s="2" t="s">
        <v>18</v>
      </c>
      <c r="E167" s="2" t="s">
        <v>57</v>
      </c>
      <c r="F167" s="2" t="s">
        <v>34</v>
      </c>
      <c r="G167" s="2">
        <v>6</v>
      </c>
      <c r="H167" s="4">
        <v>68000</v>
      </c>
    </row>
    <row r="168" spans="1:8" x14ac:dyDescent="0.35">
      <c r="A168" s="2">
        <v>1161</v>
      </c>
      <c r="B168" s="3" t="s">
        <v>16</v>
      </c>
      <c r="C168" s="2" t="s">
        <v>17</v>
      </c>
      <c r="D168" s="2" t="s">
        <v>18</v>
      </c>
      <c r="E168" s="2" t="s">
        <v>59</v>
      </c>
      <c r="F168" s="2" t="s">
        <v>34</v>
      </c>
      <c r="G168" s="2">
        <v>10</v>
      </c>
      <c r="H168" s="4">
        <v>2999</v>
      </c>
    </row>
    <row r="169" spans="1:8" x14ac:dyDescent="0.35">
      <c r="A169" s="2">
        <v>1128</v>
      </c>
      <c r="B169" s="3" t="s">
        <v>88</v>
      </c>
      <c r="C169" s="2" t="s">
        <v>25</v>
      </c>
      <c r="D169" s="2" t="s">
        <v>26</v>
      </c>
      <c r="E169" s="2" t="s">
        <v>59</v>
      </c>
      <c r="F169" s="2" t="s">
        <v>34</v>
      </c>
      <c r="G169" s="2">
        <v>10</v>
      </c>
      <c r="H169" s="4">
        <v>2999</v>
      </c>
    </row>
    <row r="170" spans="1:8" x14ac:dyDescent="0.35">
      <c r="A170" s="2">
        <v>1160</v>
      </c>
      <c r="B170" s="3" t="s">
        <v>161</v>
      </c>
      <c r="C170" s="2" t="s">
        <v>22</v>
      </c>
      <c r="D170" s="2" t="s">
        <v>32</v>
      </c>
      <c r="E170" s="2" t="s">
        <v>15</v>
      </c>
      <c r="F170" s="2" t="s">
        <v>12</v>
      </c>
      <c r="G170" s="2">
        <v>8</v>
      </c>
      <c r="H170" s="4">
        <v>4200</v>
      </c>
    </row>
    <row r="171" spans="1:8" x14ac:dyDescent="0.35">
      <c r="A171" s="2">
        <v>1093</v>
      </c>
      <c r="B171" s="3" t="s">
        <v>123</v>
      </c>
      <c r="C171" s="2" t="s">
        <v>17</v>
      </c>
      <c r="D171" s="2" t="s">
        <v>29</v>
      </c>
      <c r="E171" s="2" t="s">
        <v>59</v>
      </c>
      <c r="F171" s="2" t="s">
        <v>34</v>
      </c>
      <c r="G171" s="2"/>
      <c r="H171" s="4">
        <v>2999</v>
      </c>
    </row>
    <row r="172" spans="1:8" x14ac:dyDescent="0.35">
      <c r="A172" s="2">
        <v>1133</v>
      </c>
      <c r="B172" s="3" t="s">
        <v>77</v>
      </c>
      <c r="C172" s="2" t="s">
        <v>25</v>
      </c>
      <c r="D172" s="2" t="s">
        <v>127</v>
      </c>
      <c r="E172" s="2" t="s">
        <v>19</v>
      </c>
      <c r="F172" s="2" t="s">
        <v>20</v>
      </c>
      <c r="G172" s="2">
        <v>11</v>
      </c>
      <c r="H172" s="4">
        <v>350</v>
      </c>
    </row>
    <row r="173" spans="1:8" x14ac:dyDescent="0.35">
      <c r="A173" s="2">
        <v>1049</v>
      </c>
      <c r="B173" s="3" t="s">
        <v>8</v>
      </c>
      <c r="C173" s="2" t="s">
        <v>22</v>
      </c>
      <c r="D173" s="2" t="s">
        <v>23</v>
      </c>
      <c r="E173" s="2" t="s">
        <v>53</v>
      </c>
      <c r="F173" s="2" t="s">
        <v>34</v>
      </c>
      <c r="G173" s="2">
        <v>8</v>
      </c>
      <c r="H173" s="4">
        <v>18500</v>
      </c>
    </row>
    <row r="174" spans="1:8" x14ac:dyDescent="0.35">
      <c r="A174" s="2">
        <v>1014</v>
      </c>
      <c r="B174" s="3" t="s">
        <v>149</v>
      </c>
      <c r="C174" s="2" t="s">
        <v>22</v>
      </c>
      <c r="D174" s="2" t="s">
        <v>32</v>
      </c>
      <c r="E174" s="2" t="s">
        <v>42</v>
      </c>
      <c r="F174" s="2" t="s">
        <v>66</v>
      </c>
      <c r="G174" s="2">
        <v>4</v>
      </c>
      <c r="H174" s="4">
        <v>120</v>
      </c>
    </row>
    <row r="175" spans="1:8" x14ac:dyDescent="0.35">
      <c r="A175" s="2">
        <v>1106</v>
      </c>
      <c r="B175" s="3" t="s">
        <v>73</v>
      </c>
      <c r="C175" s="2" t="s">
        <v>17</v>
      </c>
      <c r="D175" s="2" t="s">
        <v>18</v>
      </c>
      <c r="E175" s="2" t="s">
        <v>11</v>
      </c>
      <c r="F175" s="2" t="s">
        <v>12</v>
      </c>
      <c r="G175" s="2">
        <v>12</v>
      </c>
      <c r="H175" s="4">
        <v>6500</v>
      </c>
    </row>
    <row r="176" spans="1:8" x14ac:dyDescent="0.35">
      <c r="A176" s="2">
        <v>1119</v>
      </c>
      <c r="B176" s="3" t="s">
        <v>162</v>
      </c>
      <c r="C176" s="2" t="s">
        <v>9</v>
      </c>
      <c r="D176" s="2" t="s">
        <v>14</v>
      </c>
      <c r="E176" s="2" t="s">
        <v>59</v>
      </c>
      <c r="F176" s="2" t="s">
        <v>34</v>
      </c>
      <c r="G176" s="2">
        <v>10</v>
      </c>
      <c r="H176" s="4">
        <v>2999</v>
      </c>
    </row>
    <row r="177" spans="1:8" x14ac:dyDescent="0.35">
      <c r="A177" s="2">
        <v>1139</v>
      </c>
      <c r="B177" s="3" t="s">
        <v>163</v>
      </c>
      <c r="C177" s="2" t="s">
        <v>17</v>
      </c>
      <c r="D177" s="2" t="s">
        <v>18</v>
      </c>
      <c r="E177" s="2" t="s">
        <v>57</v>
      </c>
      <c r="F177" s="2" t="s">
        <v>34</v>
      </c>
      <c r="G177" s="2"/>
      <c r="H177" s="4">
        <v>68000</v>
      </c>
    </row>
    <row r="178" spans="1:8" x14ac:dyDescent="0.35">
      <c r="A178" s="2">
        <v>1169</v>
      </c>
      <c r="B178" s="3" t="s">
        <v>78</v>
      </c>
      <c r="C178" s="2" t="s">
        <v>9</v>
      </c>
      <c r="D178" s="2" t="s">
        <v>36</v>
      </c>
      <c r="E178" s="2" t="s">
        <v>55</v>
      </c>
      <c r="F178" s="2" t="s">
        <v>20</v>
      </c>
      <c r="G178" s="2">
        <v>10</v>
      </c>
      <c r="H178" s="4">
        <v>250</v>
      </c>
    </row>
    <row r="179" spans="1:8" x14ac:dyDescent="0.35">
      <c r="A179" s="2">
        <v>1001</v>
      </c>
      <c r="B179" s="3" t="s">
        <v>164</v>
      </c>
      <c r="C179" s="2" t="s">
        <v>71</v>
      </c>
      <c r="D179" s="2" t="s">
        <v>10</v>
      </c>
      <c r="E179" s="2" t="s">
        <v>47</v>
      </c>
      <c r="F179" s="2" t="s">
        <v>66</v>
      </c>
      <c r="G179" s="2"/>
      <c r="H179" s="4">
        <v>250</v>
      </c>
    </row>
    <row r="180" spans="1:8" x14ac:dyDescent="0.35">
      <c r="A180" s="2">
        <v>1132</v>
      </c>
      <c r="B180" s="3" t="s">
        <v>65</v>
      </c>
      <c r="C180" s="2" t="s">
        <v>9</v>
      </c>
      <c r="D180" s="2" t="s">
        <v>36</v>
      </c>
      <c r="E180" s="2" t="s">
        <v>42</v>
      </c>
      <c r="F180" s="2" t="s">
        <v>20</v>
      </c>
      <c r="G180" s="2">
        <v>9</v>
      </c>
      <c r="H180" s="4">
        <v>120</v>
      </c>
    </row>
    <row r="181" spans="1:8" x14ac:dyDescent="0.35">
      <c r="A181" s="2">
        <v>1104</v>
      </c>
      <c r="B181" s="3" t="s">
        <v>102</v>
      </c>
      <c r="C181" s="2" t="s">
        <v>17</v>
      </c>
      <c r="D181" s="2" t="s">
        <v>29</v>
      </c>
      <c r="E181" s="2" t="s">
        <v>15</v>
      </c>
      <c r="F181" s="2" t="s">
        <v>12</v>
      </c>
      <c r="G181" s="2">
        <v>11</v>
      </c>
      <c r="H181" s="4">
        <v>4200</v>
      </c>
    </row>
    <row r="182" spans="1:8" x14ac:dyDescent="0.35">
      <c r="A182" s="2">
        <v>1030</v>
      </c>
      <c r="B182" s="3" t="s">
        <v>138</v>
      </c>
      <c r="C182" s="2" t="s">
        <v>9</v>
      </c>
      <c r="D182" s="2" t="s">
        <v>14</v>
      </c>
      <c r="E182" s="2" t="s">
        <v>15</v>
      </c>
      <c r="F182" s="2" t="s">
        <v>12</v>
      </c>
      <c r="G182" s="2">
        <v>1</v>
      </c>
      <c r="H182" s="4">
        <v>4200</v>
      </c>
    </row>
    <row r="183" spans="1:8" x14ac:dyDescent="0.35">
      <c r="A183" s="2">
        <v>1083</v>
      </c>
      <c r="B183" s="3" t="s">
        <v>61</v>
      </c>
      <c r="C183" s="2" t="s">
        <v>9</v>
      </c>
      <c r="D183" s="2" t="s">
        <v>14</v>
      </c>
      <c r="E183" s="2" t="s">
        <v>42</v>
      </c>
      <c r="F183" s="2" t="s">
        <v>20</v>
      </c>
      <c r="G183" s="2">
        <v>11</v>
      </c>
      <c r="H183" s="4">
        <v>120</v>
      </c>
    </row>
    <row r="184" spans="1:8" x14ac:dyDescent="0.35">
      <c r="A184" s="2">
        <v>1065</v>
      </c>
      <c r="B184" s="3" t="s">
        <v>74</v>
      </c>
      <c r="C184" s="2" t="s">
        <v>25</v>
      </c>
      <c r="D184" s="2" t="s">
        <v>26</v>
      </c>
      <c r="E184" s="2" t="s">
        <v>19</v>
      </c>
      <c r="F184" s="2" t="s">
        <v>20</v>
      </c>
      <c r="G184" s="2">
        <v>5</v>
      </c>
      <c r="H184" s="4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CBE6-DA00-4089-B09B-7E4319E8B562}">
  <dimension ref="B1:S52"/>
  <sheetViews>
    <sheetView showGridLines="0" tabSelected="1" topLeftCell="A11" workbookViewId="0">
      <selection activeCell="K24" sqref="K24"/>
    </sheetView>
  </sheetViews>
  <sheetFormatPr defaultRowHeight="14.5" x14ac:dyDescent="0.35"/>
  <cols>
    <col min="2" max="2" width="15.6328125" customWidth="1"/>
    <col min="3" max="3" width="3.54296875" customWidth="1"/>
    <col min="4" max="4" width="14.81640625" bestFit="1" customWidth="1"/>
    <col min="5" max="5" width="3.54296875" customWidth="1"/>
    <col min="6" max="6" width="17.54296875" bestFit="1" customWidth="1"/>
    <col min="7" max="7" width="3.54296875" customWidth="1"/>
    <col min="8" max="8" width="12.81640625" bestFit="1" customWidth="1"/>
    <col min="9" max="9" width="3.54296875" customWidth="1"/>
    <col min="10" max="10" width="18.90625" bestFit="1" customWidth="1"/>
    <col min="12" max="12" width="14.26953125" customWidth="1"/>
    <col min="13" max="13" width="17.90625" customWidth="1"/>
    <col min="14" max="14" width="11.1796875" bestFit="1" customWidth="1"/>
    <col min="15" max="15" width="16.1796875" bestFit="1" customWidth="1"/>
    <col min="16" max="16" width="12.08984375" customWidth="1"/>
  </cols>
  <sheetData>
    <row r="1" spans="2:19" ht="29.5" thickBot="1" x14ac:dyDescent="0.6">
      <c r="B1" s="20" t="s">
        <v>191</v>
      </c>
      <c r="L1" s="18" t="s">
        <v>186</v>
      </c>
      <c r="M1" s="19" t="s">
        <v>185</v>
      </c>
    </row>
    <row r="2" spans="2:19" ht="15" thickTop="1" x14ac:dyDescent="0.35">
      <c r="B2" s="21" t="s">
        <v>192</v>
      </c>
    </row>
    <row r="3" spans="2:19" ht="29" x14ac:dyDescent="0.35">
      <c r="L3" s="25" t="s">
        <v>187</v>
      </c>
      <c r="M3" s="25" t="s">
        <v>188</v>
      </c>
      <c r="N3" s="25" t="s">
        <v>166</v>
      </c>
      <c r="O3" s="25" t="s">
        <v>189</v>
      </c>
      <c r="P3" s="25" t="s">
        <v>5</v>
      </c>
      <c r="Q3" s="25" t="s">
        <v>190</v>
      </c>
      <c r="R3" s="25" t="s">
        <v>169</v>
      </c>
      <c r="S3" s="25" t="s">
        <v>170</v>
      </c>
    </row>
    <row r="4" spans="2:19" x14ac:dyDescent="0.35">
      <c r="L4" s="26" cm="1">
        <f t="array" ref="L4:S51">_xlfn._xlws.FILTER(_xlfn.HSTACK(Table2[OrderID],Table2[[Region Clean]:[Sales]]),Table2[Manager]=M1)</f>
        <v>1055</v>
      </c>
      <c r="M4" s="26" t="str">
        <v>West</v>
      </c>
      <c r="N4" s="26" t="str">
        <v>Priya Mehta</v>
      </c>
      <c r="O4" s="26" t="str">
        <v>Laptop Pro 14</v>
      </c>
      <c r="P4" s="26" t="str">
        <v>Electronics</v>
      </c>
      <c r="Q4" s="26">
        <v>9</v>
      </c>
      <c r="R4" s="26">
        <v>68000</v>
      </c>
      <c r="S4" s="26">
        <v>612000</v>
      </c>
    </row>
    <row r="5" spans="2:19" ht="18.5" x14ac:dyDescent="0.45">
      <c r="B5" s="22" t="s">
        <v>193</v>
      </c>
      <c r="D5" s="22" t="s">
        <v>195</v>
      </c>
      <c r="F5" s="22" t="s">
        <v>196</v>
      </c>
      <c r="H5" s="22" t="s">
        <v>197</v>
      </c>
      <c r="J5" s="22" t="s">
        <v>198</v>
      </c>
      <c r="L5" s="26">
        <v>1114</v>
      </c>
      <c r="M5" s="26" t="str">
        <v>West</v>
      </c>
      <c r="N5" s="26" t="str">
        <v>Rohan Shah</v>
      </c>
      <c r="O5" s="26" t="str">
        <v>Laptop Pro 14</v>
      </c>
      <c r="P5" s="26" t="str">
        <v>Electronics</v>
      </c>
      <c r="Q5" s="26">
        <v>6</v>
      </c>
      <c r="R5" s="26">
        <v>68000</v>
      </c>
      <c r="S5" s="26">
        <v>408000</v>
      </c>
    </row>
    <row r="6" spans="2:19" ht="23.5" x14ac:dyDescent="0.55000000000000004">
      <c r="B6" s="23">
        <f>SUM(Table2[Sales])</f>
        <v>9053158</v>
      </c>
      <c r="D6" s="24">
        <f>COUNTA(Table2[OrderID])</f>
        <v>180</v>
      </c>
      <c r="F6" s="24">
        <f>B6/D6</f>
        <v>50295.322222222225</v>
      </c>
      <c r="H6" s="24" t="str">
        <f>INDEX('Pivot Tables'!D14:D17, MATCH(MAX('Pivot Tables'!E14:E17), 'Pivot Tables'!E14:E17, 0))</f>
        <v>West</v>
      </c>
      <c r="J6" s="24" t="str">
        <f>INDEX('Pivot Tables'!H4:H11,MATCH(MAX('Pivot Tables'!I4:I11),'Pivot Tables'!I4:I11,0))</f>
        <v>Ravi Kumar</v>
      </c>
      <c r="L6" s="26">
        <v>1074</v>
      </c>
      <c r="M6" s="26" t="str">
        <v>West</v>
      </c>
      <c r="N6" s="26" t="str">
        <v>Priya Mehta</v>
      </c>
      <c r="O6" s="26" t="str">
        <v>Laptop Pro 14</v>
      </c>
      <c r="P6" s="26" t="str">
        <v>Electronics</v>
      </c>
      <c r="Q6" s="26">
        <v>5</v>
      </c>
      <c r="R6" s="26">
        <v>68000</v>
      </c>
      <c r="S6" s="26">
        <v>340000</v>
      </c>
    </row>
    <row r="7" spans="2:19" x14ac:dyDescent="0.35">
      <c r="L7" s="26">
        <v>1165</v>
      </c>
      <c r="M7" s="26" t="str">
        <v>West</v>
      </c>
      <c r="N7" s="26" t="str">
        <v>Rohan Shah</v>
      </c>
      <c r="O7" s="26" t="str">
        <v>Laptop Pro 14</v>
      </c>
      <c r="P7" s="26" t="str">
        <v>Electronics</v>
      </c>
      <c r="Q7" s="26">
        <v>4</v>
      </c>
      <c r="R7" s="26">
        <v>68000</v>
      </c>
      <c r="S7" s="26">
        <v>272000</v>
      </c>
    </row>
    <row r="8" spans="2:19" x14ac:dyDescent="0.35">
      <c r="L8" s="26">
        <v>1107</v>
      </c>
      <c r="M8" s="26" t="str">
        <v>West</v>
      </c>
      <c r="N8" s="26" t="str">
        <v>Rohan Shah</v>
      </c>
      <c r="O8" s="26" t="str">
        <v>Standing Desk</v>
      </c>
      <c r="P8" s="26" t="str">
        <v>Furniture</v>
      </c>
      <c r="Q8" s="26">
        <v>11</v>
      </c>
      <c r="R8" s="26">
        <v>15500</v>
      </c>
      <c r="S8" s="26">
        <v>170500</v>
      </c>
    </row>
    <row r="9" spans="2:19" x14ac:dyDescent="0.35">
      <c r="L9" s="26">
        <v>1003</v>
      </c>
      <c r="M9" s="26" t="str">
        <v>West</v>
      </c>
      <c r="N9" s="26" t="str">
        <v>Priya Mehta</v>
      </c>
      <c r="O9" s="26" t="str">
        <v>Laptop Pro 14</v>
      </c>
      <c r="P9" s="26" t="str">
        <v>Electronics</v>
      </c>
      <c r="Q9" s="26">
        <v>2</v>
      </c>
      <c r="R9" s="26">
        <v>68000</v>
      </c>
      <c r="S9" s="26">
        <v>136000</v>
      </c>
    </row>
    <row r="10" spans="2:19" x14ac:dyDescent="0.35">
      <c r="L10" s="26">
        <v>1084</v>
      </c>
      <c r="M10" s="26" t="str">
        <v>West</v>
      </c>
      <c r="N10" s="26" t="str">
        <v>Rohan Shah</v>
      </c>
      <c r="O10" s="26" t="str">
        <v>Laptop Pro 14</v>
      </c>
      <c r="P10" s="26" t="str">
        <v>Electronics</v>
      </c>
      <c r="Q10" s="26">
        <v>2</v>
      </c>
      <c r="R10" s="26">
        <v>68000</v>
      </c>
      <c r="S10" s="26">
        <v>136000</v>
      </c>
    </row>
    <row r="11" spans="2:19" x14ac:dyDescent="0.35">
      <c r="E11" t="s">
        <v>194</v>
      </c>
      <c r="L11" s="26">
        <v>1117</v>
      </c>
      <c r="M11" s="26" t="str">
        <v>West</v>
      </c>
      <c r="N11" s="26" t="str">
        <v>Priya Mehta</v>
      </c>
      <c r="O11" s="26" t="str">
        <v>27In Monitor</v>
      </c>
      <c r="P11" s="26" t="str">
        <v>Electronics</v>
      </c>
      <c r="Q11" s="26">
        <v>6</v>
      </c>
      <c r="R11" s="26">
        <v>18500</v>
      </c>
      <c r="S11" s="26">
        <v>111000</v>
      </c>
    </row>
    <row r="12" spans="2:19" x14ac:dyDescent="0.35">
      <c r="L12" s="26">
        <v>1106</v>
      </c>
      <c r="M12" s="26" t="str">
        <v>West</v>
      </c>
      <c r="N12" s="26" t="str">
        <v>Rohan Shah</v>
      </c>
      <c r="O12" s="26" t="str">
        <v>Office Chair</v>
      </c>
      <c r="P12" s="26" t="str">
        <v>Furniture</v>
      </c>
      <c r="Q12" s="26">
        <v>12</v>
      </c>
      <c r="R12" s="26">
        <v>6500</v>
      </c>
      <c r="S12" s="26">
        <v>78000</v>
      </c>
    </row>
    <row r="13" spans="2:19" x14ac:dyDescent="0.35">
      <c r="L13" s="26">
        <v>1101</v>
      </c>
      <c r="M13" s="26" t="str">
        <v>West</v>
      </c>
      <c r="N13" s="26" t="str">
        <v>Rohan Shah</v>
      </c>
      <c r="O13" s="26" t="str">
        <v>27In Monitor</v>
      </c>
      <c r="P13" s="26" t="str">
        <v>Electronics</v>
      </c>
      <c r="Q13" s="26">
        <v>4</v>
      </c>
      <c r="R13" s="26">
        <v>18500</v>
      </c>
      <c r="S13" s="26">
        <v>74000</v>
      </c>
    </row>
    <row r="14" spans="2:19" x14ac:dyDescent="0.35">
      <c r="L14" s="26">
        <v>1176</v>
      </c>
      <c r="M14" s="26" t="str">
        <v>West</v>
      </c>
      <c r="N14" s="26" t="str">
        <v>Rohan Shah</v>
      </c>
      <c r="O14" s="26" t="str">
        <v>Office Chair</v>
      </c>
      <c r="P14" s="26" t="str">
        <v>Furniture</v>
      </c>
      <c r="Q14" s="26">
        <v>10</v>
      </c>
      <c r="R14" s="26">
        <v>6500</v>
      </c>
      <c r="S14" s="26">
        <v>65000</v>
      </c>
    </row>
    <row r="15" spans="2:19" x14ac:dyDescent="0.35">
      <c r="L15" s="26">
        <v>1046</v>
      </c>
      <c r="M15" s="26" t="str">
        <v>West</v>
      </c>
      <c r="N15" s="26" t="str">
        <v>Priya Mehta</v>
      </c>
      <c r="O15" s="26" t="str">
        <v>27In Monitor</v>
      </c>
      <c r="P15" s="26" t="str">
        <v>Electronics</v>
      </c>
      <c r="Q15" s="26">
        <v>3</v>
      </c>
      <c r="R15" s="26">
        <v>18500</v>
      </c>
      <c r="S15" s="26">
        <v>55500</v>
      </c>
    </row>
    <row r="16" spans="2:19" x14ac:dyDescent="0.35">
      <c r="L16" s="26">
        <v>1143</v>
      </c>
      <c r="M16" s="26" t="str">
        <v>West</v>
      </c>
      <c r="N16" s="26" t="str">
        <v>Priya Mehta</v>
      </c>
      <c r="O16" s="26" t="str">
        <v>Bookshelf</v>
      </c>
      <c r="P16" s="26" t="str">
        <v>Furniture</v>
      </c>
      <c r="Q16" s="26">
        <v>11</v>
      </c>
      <c r="R16" s="26">
        <v>4200</v>
      </c>
      <c r="S16" s="26">
        <v>46200</v>
      </c>
    </row>
    <row r="17" spans="12:19" x14ac:dyDescent="0.35">
      <c r="L17" s="26">
        <v>1013</v>
      </c>
      <c r="M17" s="26" t="str">
        <v>West</v>
      </c>
      <c r="N17" s="26" t="str">
        <v>Rohan Shah</v>
      </c>
      <c r="O17" s="26" t="str">
        <v>Bookshelf</v>
      </c>
      <c r="P17" s="26" t="str">
        <v>Furniture</v>
      </c>
      <c r="Q17" s="26">
        <v>11</v>
      </c>
      <c r="R17" s="26">
        <v>4200</v>
      </c>
      <c r="S17" s="26">
        <v>46200</v>
      </c>
    </row>
    <row r="18" spans="12:19" x14ac:dyDescent="0.35">
      <c r="L18" s="26">
        <v>1104</v>
      </c>
      <c r="M18" s="26" t="str">
        <v>West</v>
      </c>
      <c r="N18" s="26" t="str">
        <v>Priya Mehta</v>
      </c>
      <c r="O18" s="26" t="str">
        <v>Bookshelf</v>
      </c>
      <c r="P18" s="26" t="str">
        <v>Furniture</v>
      </c>
      <c r="Q18" s="26">
        <v>11</v>
      </c>
      <c r="R18" s="26">
        <v>4200</v>
      </c>
      <c r="S18" s="26">
        <v>46200</v>
      </c>
    </row>
    <row r="19" spans="12:19" x14ac:dyDescent="0.35">
      <c r="L19" s="26">
        <v>1138</v>
      </c>
      <c r="M19" s="26" t="str">
        <v>West</v>
      </c>
      <c r="N19" s="26" t="str">
        <v>Priya Mehta</v>
      </c>
      <c r="O19" s="26" t="str">
        <v>Bookshelf</v>
      </c>
      <c r="P19" s="26" t="str">
        <v>Furniture</v>
      </c>
      <c r="Q19" s="26">
        <v>10</v>
      </c>
      <c r="R19" s="26">
        <v>4200</v>
      </c>
      <c r="S19" s="26">
        <v>42000</v>
      </c>
    </row>
    <row r="20" spans="12:19" x14ac:dyDescent="0.35">
      <c r="L20" s="26">
        <v>1005</v>
      </c>
      <c r="M20" s="26" t="str">
        <v>West</v>
      </c>
      <c r="N20" s="26" t="str">
        <v>Priya Mehta</v>
      </c>
      <c r="O20" s="26" t="str">
        <v>Bookshelf</v>
      </c>
      <c r="P20" s="26" t="str">
        <v>Furniture</v>
      </c>
      <c r="Q20" s="26">
        <v>10</v>
      </c>
      <c r="R20" s="26">
        <v>4200</v>
      </c>
      <c r="S20" s="26">
        <v>42000</v>
      </c>
    </row>
    <row r="21" spans="12:19" x14ac:dyDescent="0.35">
      <c r="L21" s="26">
        <v>1113</v>
      </c>
      <c r="M21" s="26" t="str">
        <v>West</v>
      </c>
      <c r="N21" s="26" t="str">
        <v>Rohan Shah</v>
      </c>
      <c r="O21" s="26" t="str">
        <v>Bluetooth Speaker</v>
      </c>
      <c r="P21" s="26" t="str">
        <v>Electronics</v>
      </c>
      <c r="Q21" s="26">
        <v>12</v>
      </c>
      <c r="R21" s="26">
        <v>2999</v>
      </c>
      <c r="S21" s="26">
        <v>35988</v>
      </c>
    </row>
    <row r="22" spans="12:19" x14ac:dyDescent="0.35">
      <c r="L22" s="26">
        <v>1095</v>
      </c>
      <c r="M22" s="26" t="str">
        <v>West</v>
      </c>
      <c r="N22" s="26" t="str">
        <v>Rohan Shah</v>
      </c>
      <c r="O22" s="26" t="str">
        <v>Bookshelf</v>
      </c>
      <c r="P22" s="26" t="str">
        <v>Furniture</v>
      </c>
      <c r="Q22" s="26">
        <v>8</v>
      </c>
      <c r="R22" s="26">
        <v>4200</v>
      </c>
      <c r="S22" s="26">
        <v>33600</v>
      </c>
    </row>
    <row r="23" spans="12:19" x14ac:dyDescent="0.35">
      <c r="L23" s="26">
        <v>1161</v>
      </c>
      <c r="M23" s="26" t="str">
        <v>West</v>
      </c>
      <c r="N23" s="26" t="str">
        <v>Rohan Shah</v>
      </c>
      <c r="O23" s="26" t="str">
        <v>Bluetooth Speaker</v>
      </c>
      <c r="P23" s="26" t="str">
        <v>Electronics</v>
      </c>
      <c r="Q23" s="26">
        <v>10</v>
      </c>
      <c r="R23" s="26">
        <v>2999</v>
      </c>
      <c r="S23" s="26">
        <v>29990</v>
      </c>
    </row>
    <row r="24" spans="12:19" x14ac:dyDescent="0.35">
      <c r="L24" s="26">
        <v>1052</v>
      </c>
      <c r="M24" s="26" t="str">
        <v>West</v>
      </c>
      <c r="N24" s="26" t="str">
        <v>Rohan Shah</v>
      </c>
      <c r="O24" s="26" t="str">
        <v>Office Chair</v>
      </c>
      <c r="P24" s="26" t="str">
        <v>Furniture</v>
      </c>
      <c r="Q24" s="26">
        <v>4</v>
      </c>
      <c r="R24" s="26">
        <v>6500</v>
      </c>
      <c r="S24" s="26">
        <v>26000</v>
      </c>
    </row>
    <row r="25" spans="12:19" x14ac:dyDescent="0.35">
      <c r="L25" s="26">
        <v>1177</v>
      </c>
      <c r="M25" s="26" t="str">
        <v>West</v>
      </c>
      <c r="N25" s="26" t="str">
        <v>Priya Mehta</v>
      </c>
      <c r="O25" s="26" t="str">
        <v>Bookshelf</v>
      </c>
      <c r="P25" s="26" t="str">
        <v>Furniture</v>
      </c>
      <c r="Q25" s="26">
        <v>6</v>
      </c>
      <c r="R25" s="26">
        <v>4200</v>
      </c>
      <c r="S25" s="26">
        <v>25200</v>
      </c>
    </row>
    <row r="26" spans="12:19" x14ac:dyDescent="0.35">
      <c r="L26" s="26">
        <v>1080</v>
      </c>
      <c r="M26" s="26" t="str">
        <v>West</v>
      </c>
      <c r="N26" s="26" t="str">
        <v>Priya Mehta</v>
      </c>
      <c r="O26" s="26" t="str">
        <v>Bookshelf</v>
      </c>
      <c r="P26" s="26" t="str">
        <v>Furniture</v>
      </c>
      <c r="Q26" s="26">
        <v>4</v>
      </c>
      <c r="R26" s="26">
        <v>4200</v>
      </c>
      <c r="S26" s="26">
        <v>16800</v>
      </c>
    </row>
    <row r="27" spans="12:19" x14ac:dyDescent="0.35">
      <c r="L27" s="26">
        <v>1173</v>
      </c>
      <c r="M27" s="26" t="str">
        <v>West</v>
      </c>
      <c r="N27" s="26" t="str">
        <v>Rohan Shah</v>
      </c>
      <c r="O27" s="26" t="str">
        <v>Bluetooth Speaker</v>
      </c>
      <c r="P27" s="26" t="str">
        <v>Electronics</v>
      </c>
      <c r="Q27" s="26">
        <v>5</v>
      </c>
      <c r="R27" s="26">
        <v>2999</v>
      </c>
      <c r="S27" s="26">
        <v>14995</v>
      </c>
    </row>
    <row r="28" spans="12:19" x14ac:dyDescent="0.35">
      <c r="L28" s="26">
        <v>1118</v>
      </c>
      <c r="M28" s="26" t="str">
        <v>West</v>
      </c>
      <c r="N28" s="26" t="str">
        <v>Priya Mehta</v>
      </c>
      <c r="O28" s="26" t="str">
        <v>Bookshelf</v>
      </c>
      <c r="P28" s="26" t="str">
        <v>Furniture</v>
      </c>
      <c r="Q28" s="26">
        <v>3</v>
      </c>
      <c r="R28" s="26">
        <v>4200</v>
      </c>
      <c r="S28" s="26">
        <v>12600</v>
      </c>
    </row>
    <row r="29" spans="12:19" x14ac:dyDescent="0.35">
      <c r="L29" s="26">
        <v>1100</v>
      </c>
      <c r="M29" s="26" t="str">
        <v>West</v>
      </c>
      <c r="N29" s="26" t="str">
        <v>Rohan Shah</v>
      </c>
      <c r="O29" s="26" t="str">
        <v>Bluetooth Speaker</v>
      </c>
      <c r="P29" s="26" t="str">
        <v>Electronics</v>
      </c>
      <c r="Q29" s="26">
        <v>4</v>
      </c>
      <c r="R29" s="26">
        <v>2999</v>
      </c>
      <c r="S29" s="26">
        <v>11996</v>
      </c>
    </row>
    <row r="30" spans="12:19" x14ac:dyDescent="0.35">
      <c r="L30" s="26">
        <v>1172</v>
      </c>
      <c r="M30" s="26" t="str">
        <v>West</v>
      </c>
      <c r="N30" s="26" t="str">
        <v>Rohan Shah</v>
      </c>
      <c r="O30" s="26" t="str">
        <v>Wireless Mouse</v>
      </c>
      <c r="P30" s="26" t="str">
        <v>Electronics</v>
      </c>
      <c r="Q30" s="26">
        <v>10</v>
      </c>
      <c r="R30" s="26">
        <v>799</v>
      </c>
      <c r="S30" s="26">
        <v>7990</v>
      </c>
    </row>
    <row r="31" spans="12:19" x14ac:dyDescent="0.35">
      <c r="L31" s="26">
        <v>1062</v>
      </c>
      <c r="M31" s="26" t="str">
        <v>West</v>
      </c>
      <c r="N31" s="26" t="str">
        <v>Priya Mehta</v>
      </c>
      <c r="O31" s="26" t="str">
        <v>Wireless Mouse</v>
      </c>
      <c r="P31" s="26" t="str">
        <v>Electronics</v>
      </c>
      <c r="Q31" s="26">
        <v>9</v>
      </c>
      <c r="R31" s="26">
        <v>799</v>
      </c>
      <c r="S31" s="26">
        <v>7191</v>
      </c>
    </row>
    <row r="32" spans="12:19" x14ac:dyDescent="0.35">
      <c r="L32" s="26">
        <v>1115</v>
      </c>
      <c r="M32" s="26" t="str">
        <v>West</v>
      </c>
      <c r="N32" s="26" t="str">
        <v>Rohan Shah</v>
      </c>
      <c r="O32" s="26" t="str">
        <v>Notebook Set</v>
      </c>
      <c r="P32" s="26" t="str">
        <v>Stationery</v>
      </c>
      <c r="Q32" s="26">
        <v>12</v>
      </c>
      <c r="R32" s="26">
        <v>350</v>
      </c>
      <c r="S32" s="26">
        <v>4200</v>
      </c>
    </row>
    <row r="33" spans="12:19" x14ac:dyDescent="0.35">
      <c r="L33" s="26">
        <v>1027</v>
      </c>
      <c r="M33" s="26" t="str">
        <v>West</v>
      </c>
      <c r="N33" s="26" t="str">
        <v>Priya Mehta</v>
      </c>
      <c r="O33" s="26" t="str">
        <v>Bookshelf</v>
      </c>
      <c r="P33" s="26" t="str">
        <v>Furniture</v>
      </c>
      <c r="Q33" s="26">
        <v>1</v>
      </c>
      <c r="R33" s="26">
        <v>4200</v>
      </c>
      <c r="S33" s="26">
        <v>4200</v>
      </c>
    </row>
    <row r="34" spans="12:19" x14ac:dyDescent="0.35">
      <c r="L34" s="26">
        <v>1144</v>
      </c>
      <c r="M34" s="26" t="str">
        <v>West</v>
      </c>
      <c r="N34" s="26" t="str">
        <v>Priya Mehta</v>
      </c>
      <c r="O34" s="26" t="str">
        <v>Wireless Mouse</v>
      </c>
      <c r="P34" s="26" t="str">
        <v>Electronics</v>
      </c>
      <c r="Q34" s="26">
        <v>5</v>
      </c>
      <c r="R34" s="26">
        <v>799</v>
      </c>
      <c r="S34" s="26">
        <v>3995</v>
      </c>
    </row>
    <row r="35" spans="12:19" x14ac:dyDescent="0.35">
      <c r="L35" s="26">
        <v>1145</v>
      </c>
      <c r="M35" s="26" t="str">
        <v>West</v>
      </c>
      <c r="N35" s="26" t="str">
        <v>Priya Mehta</v>
      </c>
      <c r="O35" s="26" t="str">
        <v>A4 Paper Ream</v>
      </c>
      <c r="P35" s="26" t="str">
        <v>Stationery</v>
      </c>
      <c r="Q35" s="26">
        <v>11</v>
      </c>
      <c r="R35" s="26">
        <v>250</v>
      </c>
      <c r="S35" s="26">
        <v>2750</v>
      </c>
    </row>
    <row r="36" spans="12:19" x14ac:dyDescent="0.35">
      <c r="L36" s="26">
        <v>1179</v>
      </c>
      <c r="M36" s="26" t="str">
        <v>West</v>
      </c>
      <c r="N36" s="26" t="str">
        <v>Rohan Shah</v>
      </c>
      <c r="O36" s="26" t="str">
        <v>A4 Paper Ream</v>
      </c>
      <c r="P36" s="26" t="str">
        <v>Stationery</v>
      </c>
      <c r="Q36" s="26">
        <v>11</v>
      </c>
      <c r="R36" s="26">
        <v>250</v>
      </c>
      <c r="S36" s="26">
        <v>2750</v>
      </c>
    </row>
    <row r="37" spans="12:19" x14ac:dyDescent="0.35">
      <c r="L37" s="26">
        <v>1108</v>
      </c>
      <c r="M37" s="26" t="str">
        <v>West</v>
      </c>
      <c r="N37" s="26" t="str">
        <v>Priya Mehta</v>
      </c>
      <c r="O37" s="26" t="str">
        <v>A4 Paper Ream</v>
      </c>
      <c r="P37" s="26" t="str">
        <v>Stationery</v>
      </c>
      <c r="Q37" s="26">
        <v>8</v>
      </c>
      <c r="R37" s="26">
        <v>250</v>
      </c>
      <c r="S37" s="26">
        <v>2000</v>
      </c>
    </row>
    <row r="38" spans="12:19" x14ac:dyDescent="0.35">
      <c r="L38" s="26">
        <v>1010</v>
      </c>
      <c r="M38" s="26" t="str">
        <v>West</v>
      </c>
      <c r="N38" s="26" t="str">
        <v>Priya Mehta</v>
      </c>
      <c r="O38" s="26" t="str">
        <v>Notebook Set</v>
      </c>
      <c r="P38" s="26" t="str">
        <v>Stationery</v>
      </c>
      <c r="Q38" s="26">
        <v>5</v>
      </c>
      <c r="R38" s="26">
        <v>350</v>
      </c>
      <c r="S38" s="26">
        <v>1750</v>
      </c>
    </row>
    <row r="39" spans="12:19" x14ac:dyDescent="0.35">
      <c r="L39" s="26">
        <v>1147</v>
      </c>
      <c r="M39" s="26" t="str">
        <v>West</v>
      </c>
      <c r="N39" s="26" t="str">
        <v>Rohan Shah</v>
      </c>
      <c r="O39" s="26" t="str">
        <v>Gel Pen Pack</v>
      </c>
      <c r="P39" s="26" t="str">
        <v>Stationery</v>
      </c>
      <c r="Q39" s="26">
        <v>12</v>
      </c>
      <c r="R39" s="26">
        <v>120</v>
      </c>
      <c r="S39" s="26">
        <v>1440</v>
      </c>
    </row>
    <row r="40" spans="12:19" x14ac:dyDescent="0.35">
      <c r="L40" s="26">
        <v>1103</v>
      </c>
      <c r="M40" s="26" t="str">
        <v>West</v>
      </c>
      <c r="N40" s="26" t="str">
        <v>Priya Mehta</v>
      </c>
      <c r="O40" s="26" t="str">
        <v>Notebook Set</v>
      </c>
      <c r="P40" s="26" t="str">
        <v>Stationery</v>
      </c>
      <c r="Q40" s="26">
        <v>4</v>
      </c>
      <c r="R40" s="26">
        <v>350</v>
      </c>
      <c r="S40" s="26">
        <v>1400</v>
      </c>
    </row>
    <row r="41" spans="12:19" x14ac:dyDescent="0.35">
      <c r="L41" s="26">
        <v>1094</v>
      </c>
      <c r="M41" s="26" t="str">
        <v>West</v>
      </c>
      <c r="N41" s="26" t="str">
        <v>Priya Mehta</v>
      </c>
      <c r="O41" s="26" t="str">
        <v>A4 Paper Ream</v>
      </c>
      <c r="P41" s="26" t="str">
        <v>Stationery</v>
      </c>
      <c r="Q41" s="26">
        <v>5</v>
      </c>
      <c r="R41" s="26">
        <v>250</v>
      </c>
      <c r="S41" s="26">
        <v>1250</v>
      </c>
    </row>
    <row r="42" spans="12:19" x14ac:dyDescent="0.35">
      <c r="L42" s="26">
        <v>1081</v>
      </c>
      <c r="M42" s="26" t="str">
        <v>West</v>
      </c>
      <c r="N42" s="26" t="str">
        <v>Rohan Shah</v>
      </c>
      <c r="O42" s="26" t="str">
        <v>A4 Paper Ream</v>
      </c>
      <c r="P42" s="26" t="str">
        <v>Stationery</v>
      </c>
      <c r="Q42" s="26">
        <v>4</v>
      </c>
      <c r="R42" s="26">
        <v>250</v>
      </c>
      <c r="S42" s="26">
        <v>1000</v>
      </c>
    </row>
    <row r="43" spans="12:19" x14ac:dyDescent="0.35">
      <c r="L43" s="26">
        <v>1086</v>
      </c>
      <c r="M43" s="26" t="str">
        <v>West</v>
      </c>
      <c r="N43" s="26" t="str">
        <v>Rohan Shah</v>
      </c>
      <c r="O43" s="26" t="str">
        <v>Gel Pen Pack</v>
      </c>
      <c r="P43" s="26" t="str">
        <v>Stationery</v>
      </c>
      <c r="Q43" s="26">
        <v>7</v>
      </c>
      <c r="R43" s="26">
        <v>120</v>
      </c>
      <c r="S43" s="26">
        <v>840</v>
      </c>
    </row>
    <row r="44" spans="12:19" x14ac:dyDescent="0.35">
      <c r="L44" s="26">
        <v>1044</v>
      </c>
      <c r="M44" s="26" t="str">
        <v>West</v>
      </c>
      <c r="N44" s="26" t="str">
        <v>Priya Mehta</v>
      </c>
      <c r="O44" s="26" t="str">
        <v>Wireless Mouse</v>
      </c>
      <c r="P44" s="26" t="str">
        <v>Electronics</v>
      </c>
      <c r="Q44" s="26">
        <v>1</v>
      </c>
      <c r="R44" s="26">
        <v>799</v>
      </c>
      <c r="S44" s="26">
        <v>799</v>
      </c>
    </row>
    <row r="45" spans="12:19" x14ac:dyDescent="0.35">
      <c r="L45" s="26">
        <v>1020</v>
      </c>
      <c r="M45" s="26" t="str">
        <v>West</v>
      </c>
      <c r="N45" s="26" t="str">
        <v>Priya Mehta</v>
      </c>
      <c r="O45" s="26" t="str">
        <v>A4 Paper Ream</v>
      </c>
      <c r="P45" s="26" t="str">
        <v>Stationery</v>
      </c>
      <c r="Q45" s="26">
        <v>3</v>
      </c>
      <c r="R45" s="26">
        <v>250</v>
      </c>
      <c r="S45" s="26">
        <v>750</v>
      </c>
    </row>
    <row r="46" spans="12:19" x14ac:dyDescent="0.35">
      <c r="L46" s="26">
        <v>1008</v>
      </c>
      <c r="M46" s="26" t="str">
        <v>West</v>
      </c>
      <c r="N46" s="26" t="str">
        <v>Priya Mehta</v>
      </c>
      <c r="O46" s="26" t="str">
        <v>Gel Pen Pack</v>
      </c>
      <c r="P46" s="26" t="str">
        <v>Stationery</v>
      </c>
      <c r="Q46" s="26">
        <v>6</v>
      </c>
      <c r="R46" s="26">
        <v>120</v>
      </c>
      <c r="S46" s="26">
        <v>720</v>
      </c>
    </row>
    <row r="47" spans="12:19" x14ac:dyDescent="0.35">
      <c r="L47" s="26">
        <v>1025</v>
      </c>
      <c r="M47" s="26" t="str">
        <v>West</v>
      </c>
      <c r="N47" s="26" t="str">
        <v>Rohan Shah</v>
      </c>
      <c r="O47" s="26" t="str">
        <v>Notebook Set</v>
      </c>
      <c r="P47" s="26" t="str">
        <v>Stationery</v>
      </c>
      <c r="Q47" s="26">
        <v>1</v>
      </c>
      <c r="R47" s="26">
        <v>350</v>
      </c>
      <c r="S47" s="26">
        <v>350</v>
      </c>
    </row>
    <row r="48" spans="12:19" x14ac:dyDescent="0.35">
      <c r="L48" s="26">
        <v>1047</v>
      </c>
      <c r="M48" s="26" t="str">
        <v>West</v>
      </c>
      <c r="N48" s="26" t="str">
        <v>Priya Mehta</v>
      </c>
      <c r="O48" s="26" t="str">
        <v>Wireless Mouse</v>
      </c>
      <c r="P48" s="26" t="str">
        <v>Electronics</v>
      </c>
      <c r="Q48" s="26">
        <v>0</v>
      </c>
      <c r="R48" s="26">
        <v>799</v>
      </c>
      <c r="S48" s="26">
        <v>0</v>
      </c>
    </row>
    <row r="49" spans="12:19" x14ac:dyDescent="0.35">
      <c r="L49" s="26">
        <v>1093</v>
      </c>
      <c r="M49" s="26" t="str">
        <v>West</v>
      </c>
      <c r="N49" s="26" t="str">
        <v>Priya Mehta</v>
      </c>
      <c r="O49" s="26" t="str">
        <v>Bluetooth Speaker</v>
      </c>
      <c r="P49" s="26" t="str">
        <v>Electronics</v>
      </c>
      <c r="Q49" s="26">
        <v>0</v>
      </c>
      <c r="R49" s="26">
        <v>2999</v>
      </c>
      <c r="S49" s="26">
        <v>0</v>
      </c>
    </row>
    <row r="50" spans="12:19" x14ac:dyDescent="0.35">
      <c r="L50" s="26">
        <v>1024</v>
      </c>
      <c r="M50" s="26" t="str">
        <v>West</v>
      </c>
      <c r="N50" s="26" t="str">
        <v>Priya Mehta</v>
      </c>
      <c r="O50" s="26" t="str">
        <v>27In Monitor</v>
      </c>
      <c r="P50" s="26" t="str">
        <v>Electronics</v>
      </c>
      <c r="Q50" s="26">
        <v>0</v>
      </c>
      <c r="R50" s="26">
        <v>18500</v>
      </c>
      <c r="S50" s="26">
        <v>0</v>
      </c>
    </row>
    <row r="51" spans="12:19" x14ac:dyDescent="0.35">
      <c r="L51" s="26">
        <v>1139</v>
      </c>
      <c r="M51" s="26" t="str">
        <v>West</v>
      </c>
      <c r="N51" s="26" t="str">
        <v>Rohan Shah</v>
      </c>
      <c r="O51" s="26" t="str">
        <v>Laptop Pro 14</v>
      </c>
      <c r="P51" s="26" t="str">
        <v>Electronics</v>
      </c>
      <c r="Q51" s="26">
        <v>0</v>
      </c>
      <c r="R51" s="26">
        <v>68000</v>
      </c>
      <c r="S51" s="26">
        <v>0</v>
      </c>
    </row>
    <row r="52" spans="12:19" x14ac:dyDescent="0.35">
      <c r="L52" s="26"/>
      <c r="M52" s="26"/>
      <c r="N52" s="26"/>
      <c r="O52" s="26"/>
      <c r="P52" s="26"/>
      <c r="Q52" s="26"/>
      <c r="R52" s="26"/>
      <c r="S52" s="2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36908A-01F0-44D8-99A5-B8B740DB5CDF}">
          <x14:formula1>
            <xm:f>Lookup!$B$2:$B$5</xm:f>
          </x14:formula1>
          <xm:sqref>M1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D331-ADEB-4C5E-B676-B21CCB2FBCF2}">
  <dimension ref="A1:J181"/>
  <sheetViews>
    <sheetView topLeftCell="A163" workbookViewId="0">
      <selection activeCell="D170" sqref="D170:D171"/>
    </sheetView>
  </sheetViews>
  <sheetFormatPr defaultRowHeight="14.5" x14ac:dyDescent="0.35"/>
  <cols>
    <col min="1" max="1" width="10" customWidth="1"/>
    <col min="2" max="2" width="15.1796875" style="13" bestFit="1" customWidth="1"/>
    <col min="3" max="3" width="15.1796875" customWidth="1"/>
    <col min="4" max="4" width="15.08984375" customWidth="1"/>
    <col min="5" max="5" width="16.1796875" bestFit="1" customWidth="1"/>
    <col min="6" max="6" width="11.1796875" customWidth="1"/>
    <col min="7" max="7" width="7.6328125" customWidth="1"/>
    <col min="8" max="8" width="11.81640625" customWidth="1"/>
    <col min="10" max="10" width="13.26953125" bestFit="1" customWidth="1"/>
  </cols>
  <sheetData>
    <row r="1" spans="1:10" x14ac:dyDescent="0.35">
      <c r="A1" s="7" t="s">
        <v>0</v>
      </c>
      <c r="B1" s="14" t="s">
        <v>1</v>
      </c>
      <c r="C1" s="5" t="s">
        <v>165</v>
      </c>
      <c r="D1" s="5" t="s">
        <v>166</v>
      </c>
      <c r="E1" s="5" t="s">
        <v>4</v>
      </c>
      <c r="F1" s="5" t="s">
        <v>5</v>
      </c>
      <c r="G1" s="5" t="s">
        <v>6</v>
      </c>
      <c r="H1" s="5" t="s">
        <v>169</v>
      </c>
      <c r="I1" s="9" t="s">
        <v>170</v>
      </c>
      <c r="J1" s="17" t="s">
        <v>181</v>
      </c>
    </row>
    <row r="2" spans="1:10" x14ac:dyDescent="0.35">
      <c r="A2" s="8">
        <v>1088</v>
      </c>
      <c r="B2" s="12">
        <v>45723</v>
      </c>
      <c r="C2" t="str">
        <f>PROPER(TRIM(Sales_Data!C52))</f>
        <v>North</v>
      </c>
      <c r="D2" t="str">
        <f>PROPER(TRIM(Sales_Data!D52))</f>
        <v>Ananya Rao</v>
      </c>
      <c r="E2" t="str">
        <f>PROPER(TRIM(Sales_Data!E52))</f>
        <v>Laptop Pro 14</v>
      </c>
      <c r="F2" t="str">
        <f>PROPER(TRIM(Sales_Data!F52))</f>
        <v>Electronics</v>
      </c>
      <c r="G2">
        <f>IF(Sales_Data!G52=" ",0,Sales_Data!G52)</f>
        <v>9</v>
      </c>
      <c r="H2" s="6">
        <f>Sales_Data!H52</f>
        <v>68000</v>
      </c>
      <c r="I2">
        <f>Table2[[#This Row],[Units]]*Table2[[#This Row],[Unit Price]]</f>
        <v>612000</v>
      </c>
      <c r="J2" t="str">
        <f>_xlfn.XLOOKUP(Table2[[#This Row],[Region Clean]],Table4[Region],Table4[Manager])</f>
        <v>Meera Nair</v>
      </c>
    </row>
    <row r="3" spans="1:10" x14ac:dyDescent="0.35">
      <c r="A3" s="8">
        <v>1055</v>
      </c>
      <c r="B3" s="12">
        <v>45807</v>
      </c>
      <c r="C3" t="str">
        <f>PROPER(TRIM(Sales_Data!C59))</f>
        <v>West</v>
      </c>
      <c r="D3" t="str">
        <f>PROPER(TRIM(Sales_Data!D59))</f>
        <v>Priya Mehta</v>
      </c>
      <c r="E3" t="str">
        <f>PROPER(TRIM(Sales_Data!E59))</f>
        <v>Laptop Pro 14</v>
      </c>
      <c r="F3" t="str">
        <f>PROPER(TRIM(Sales_Data!F59))</f>
        <v>Electronics</v>
      </c>
      <c r="G3">
        <f>IF(Sales_Data!G59=" ",0,Sales_Data!G59)</f>
        <v>9</v>
      </c>
      <c r="H3" s="6">
        <f>Sales_Data!H59</f>
        <v>68000</v>
      </c>
      <c r="I3">
        <f>Table2[[#This Row],[Units]]*Table2[[#This Row],[Unit Price]]</f>
        <v>612000</v>
      </c>
      <c r="J3" t="str">
        <f>_xlfn.XLOOKUP(Table2[[#This Row],[Region Clean]],Table4[Region],Table4[Manager])</f>
        <v>Nikhil Verma</v>
      </c>
    </row>
    <row r="4" spans="1:10" x14ac:dyDescent="0.35">
      <c r="A4" s="8">
        <v>1164</v>
      </c>
      <c r="B4" s="12">
        <v>45799</v>
      </c>
      <c r="C4" t="str">
        <f>PROPER(TRIM(Sales_Data!C91))</f>
        <v>North</v>
      </c>
      <c r="D4" t="str">
        <f>PROPER(TRIM(Sales_Data!D91))</f>
        <v>Ravi Kumar</v>
      </c>
      <c r="E4" t="str">
        <f>PROPER(TRIM(Sales_Data!E91))</f>
        <v>Laptop Pro 14</v>
      </c>
      <c r="F4" t="str">
        <f>PROPER(TRIM(Sales_Data!F91))</f>
        <v>Electronics</v>
      </c>
      <c r="G4">
        <f>IF(Sales_Data!G91=" ",0,Sales_Data!G91)</f>
        <v>7</v>
      </c>
      <c r="H4" s="6">
        <f>Sales_Data!H91</f>
        <v>68000</v>
      </c>
      <c r="I4">
        <f>Table2[[#This Row],[Units]]*Table2[[#This Row],[Unit Price]]</f>
        <v>476000</v>
      </c>
      <c r="J4" t="str">
        <f>_xlfn.XLOOKUP(Table2[[#This Row],[Region Clean]],Table4[Region],Table4[Manager])</f>
        <v>Meera Nair</v>
      </c>
    </row>
    <row r="5" spans="1:10" x14ac:dyDescent="0.35">
      <c r="A5" s="8">
        <v>1114</v>
      </c>
      <c r="B5" s="12">
        <v>45663</v>
      </c>
      <c r="C5" t="str">
        <f>PROPER(TRIM(Sales_Data!C167))</f>
        <v>West</v>
      </c>
      <c r="D5" t="str">
        <f>PROPER(TRIM(Sales_Data!D167))</f>
        <v>Rohan Shah</v>
      </c>
      <c r="E5" t="str">
        <f>PROPER(TRIM(Sales_Data!E167))</f>
        <v>Laptop Pro 14</v>
      </c>
      <c r="F5" t="str">
        <f>PROPER(TRIM(Sales_Data!F167))</f>
        <v>Electronics</v>
      </c>
      <c r="G5">
        <f>IF(Sales_Data!G167=" ",0,Sales_Data!G167)</f>
        <v>6</v>
      </c>
      <c r="H5" s="6">
        <f>Sales_Data!H167</f>
        <v>68000</v>
      </c>
      <c r="I5">
        <f>Table2[[#This Row],[Units]]*Table2[[#This Row],[Unit Price]]</f>
        <v>408000</v>
      </c>
      <c r="J5" t="str">
        <f>_xlfn.XLOOKUP(Table2[[#This Row],[Region Clean]],Table4[Region],Table4[Manager])</f>
        <v>Nikhil Verma</v>
      </c>
    </row>
    <row r="6" spans="1:10" x14ac:dyDescent="0.35">
      <c r="A6" s="8">
        <v>1074</v>
      </c>
      <c r="B6" s="12">
        <v>45695</v>
      </c>
      <c r="C6" t="str">
        <f>PROPER(TRIM(Sales_Data!C161))</f>
        <v>West</v>
      </c>
      <c r="D6" t="str">
        <f>PROPER(TRIM(Sales_Data!D161))</f>
        <v>Priya Mehta</v>
      </c>
      <c r="E6" t="str">
        <f>PROPER(TRIM(Sales_Data!E161))</f>
        <v>Laptop Pro 14</v>
      </c>
      <c r="F6" t="str">
        <f>PROPER(TRIM(Sales_Data!F161))</f>
        <v>Electronics</v>
      </c>
      <c r="G6">
        <f>IF(Sales_Data!G161=" ",0,Sales_Data!G161)</f>
        <v>5</v>
      </c>
      <c r="H6" s="6">
        <f>Sales_Data!H161</f>
        <v>68000</v>
      </c>
      <c r="I6">
        <f>Table2[[#This Row],[Units]]*Table2[[#This Row],[Unit Price]]</f>
        <v>340000</v>
      </c>
      <c r="J6" t="str">
        <f>_xlfn.XLOOKUP(Table2[[#This Row],[Region Clean]],Table4[Region],Table4[Manager])</f>
        <v>Nikhil Verma</v>
      </c>
    </row>
    <row r="7" spans="1:10" x14ac:dyDescent="0.35">
      <c r="A7" s="8">
        <v>1125</v>
      </c>
      <c r="B7" s="12">
        <v>45824</v>
      </c>
      <c r="C7" t="str">
        <f>PROPER(TRIM(Sales_Data!C159))</f>
        <v>North</v>
      </c>
      <c r="D7" t="str">
        <f>PROPER(TRIM(Sales_Data!D159))</f>
        <v>Ravi Kumar</v>
      </c>
      <c r="E7" t="str">
        <f>PROPER(TRIM(Sales_Data!E159))</f>
        <v>Laptop Pro 14</v>
      </c>
      <c r="F7" t="str">
        <f>PROPER(TRIM(Sales_Data!F159))</f>
        <v>Electronics</v>
      </c>
      <c r="G7">
        <f>IF(Sales_Data!G159=" ",0,Sales_Data!G159)</f>
        <v>4</v>
      </c>
      <c r="H7" s="6">
        <f>Sales_Data!H159</f>
        <v>68000</v>
      </c>
      <c r="I7">
        <f>Table2[[#This Row],[Units]]*Table2[[#This Row],[Unit Price]]</f>
        <v>272000</v>
      </c>
      <c r="J7" t="str">
        <f>_xlfn.XLOOKUP(Table2[[#This Row],[Region Clean]],Table4[Region],Table4[Manager])</f>
        <v>Meera Nair</v>
      </c>
    </row>
    <row r="8" spans="1:10" x14ac:dyDescent="0.35">
      <c r="A8" s="8">
        <v>1017</v>
      </c>
      <c r="B8" s="12">
        <v>45727</v>
      </c>
      <c r="C8" t="str">
        <f>PROPER(TRIM(Sales_Data!C81))</f>
        <v>South</v>
      </c>
      <c r="D8" t="str">
        <f>PROPER(TRIM(Sales_Data!D81))</f>
        <v>Karthik Iyer</v>
      </c>
      <c r="E8" t="str">
        <f>PROPER(TRIM(Sales_Data!E81))</f>
        <v>Laptop Pro 14</v>
      </c>
      <c r="F8" t="str">
        <f>PROPER(TRIM(Sales_Data!F81))</f>
        <v>Electronics</v>
      </c>
      <c r="G8">
        <f>IF(Sales_Data!G81=" ",0,Sales_Data!G81)</f>
        <v>4</v>
      </c>
      <c r="H8" s="6">
        <f>Sales_Data!H81</f>
        <v>68000</v>
      </c>
      <c r="I8">
        <f>Table2[[#This Row],[Units]]*Table2[[#This Row],[Unit Price]]</f>
        <v>272000</v>
      </c>
      <c r="J8" t="str">
        <f>_xlfn.XLOOKUP(Table2[[#This Row],[Region Clean]],Table4[Region],Table4[Manager])</f>
        <v>Arjun Reddy</v>
      </c>
    </row>
    <row r="9" spans="1:10" x14ac:dyDescent="0.35">
      <c r="A9" s="8">
        <v>1165</v>
      </c>
      <c r="B9" s="12">
        <v>45773</v>
      </c>
      <c r="C9" t="str">
        <f>PROPER(TRIM(Sales_Data!C25))</f>
        <v>West</v>
      </c>
      <c r="D9" t="str">
        <f>PROPER(TRIM(Sales_Data!D25))</f>
        <v>Rohan Shah</v>
      </c>
      <c r="E9" t="str">
        <f>PROPER(TRIM(Sales_Data!E25))</f>
        <v>Laptop Pro 14</v>
      </c>
      <c r="F9" t="str">
        <f>PROPER(TRIM(Sales_Data!F25))</f>
        <v>Electronics</v>
      </c>
      <c r="G9">
        <f>IF(Sales_Data!G25=" ",0,Sales_Data!G25)</f>
        <v>4</v>
      </c>
      <c r="H9" s="6">
        <f>Sales_Data!H25</f>
        <v>68000</v>
      </c>
      <c r="I9">
        <f>Table2[[#This Row],[Units]]*Table2[[#This Row],[Unit Price]]</f>
        <v>272000</v>
      </c>
      <c r="J9" t="str">
        <f>_xlfn.XLOOKUP(Table2[[#This Row],[Region Clean]],Table4[Region],Table4[Manager])</f>
        <v>Nikhil Verma</v>
      </c>
    </row>
    <row r="10" spans="1:10" x14ac:dyDescent="0.35">
      <c r="A10" s="8">
        <v>1130</v>
      </c>
      <c r="B10" s="12">
        <v>45664</v>
      </c>
      <c r="C10" t="str">
        <f>PROPER(TRIM(Sales_Data!C120))</f>
        <v>East</v>
      </c>
      <c r="D10" t="str">
        <f>PROPER(TRIM(Sales_Data!D120))</f>
        <v>Amit Ghosh</v>
      </c>
      <c r="E10" t="str">
        <f>PROPER(TRIM(Sales_Data!E120))</f>
        <v>27In Monitor</v>
      </c>
      <c r="F10" t="str">
        <f>PROPER(TRIM(Sales_Data!F120))</f>
        <v>Electronics</v>
      </c>
      <c r="G10">
        <f>IF(Sales_Data!G120=" ",0,Sales_Data!G120)</f>
        <v>12</v>
      </c>
      <c r="H10" s="6">
        <f>Sales_Data!H120</f>
        <v>18500</v>
      </c>
      <c r="I10">
        <f>Table2[[#This Row],[Units]]*Table2[[#This Row],[Unit Price]]</f>
        <v>222000</v>
      </c>
      <c r="J10" t="str">
        <f>_xlfn.XLOOKUP(Table2[[#This Row],[Region Clean]],Table4[Region],Table4[Manager])</f>
        <v>Kavita Bose</v>
      </c>
    </row>
    <row r="11" spans="1:10" x14ac:dyDescent="0.35">
      <c r="A11" s="8">
        <v>1050</v>
      </c>
      <c r="B11" s="12">
        <v>45781</v>
      </c>
      <c r="C11" t="str">
        <f>PROPER(TRIM(Sales_Data!C93))</f>
        <v>South</v>
      </c>
      <c r="D11" t="str">
        <f>PROPER(TRIM(Sales_Data!D93))</f>
        <v>Karthik Iyer</v>
      </c>
      <c r="E11" t="str">
        <f>PROPER(TRIM(Sales_Data!E93))</f>
        <v>Laptop Pro 14</v>
      </c>
      <c r="F11" t="str">
        <f>PROPER(TRIM(Sales_Data!F93))</f>
        <v>Electronics</v>
      </c>
      <c r="G11">
        <f>IF(Sales_Data!G93=" ",0,Sales_Data!G93)</f>
        <v>3</v>
      </c>
      <c r="H11" s="6">
        <f>Sales_Data!H93</f>
        <v>68000</v>
      </c>
      <c r="I11">
        <f>Table2[[#This Row],[Units]]*Table2[[#This Row],[Unit Price]]</f>
        <v>204000</v>
      </c>
      <c r="J11" t="str">
        <f>_xlfn.XLOOKUP(Table2[[#This Row],[Region Clean]],Table4[Region],Table4[Manager])</f>
        <v>Arjun Reddy</v>
      </c>
    </row>
    <row r="12" spans="1:10" x14ac:dyDescent="0.35">
      <c r="A12" s="8">
        <v>1058</v>
      </c>
      <c r="B12" s="12">
        <v>45721</v>
      </c>
      <c r="C12" t="str">
        <f>PROPER(TRIM(Sales_Data!C148))</f>
        <v>North</v>
      </c>
      <c r="D12" t="str">
        <f>PROPER(TRIM(Sales_Data!D148))</f>
        <v>Ravi Kumar</v>
      </c>
      <c r="E12" t="str">
        <f>PROPER(TRIM(Sales_Data!E148))</f>
        <v>27In Monitor</v>
      </c>
      <c r="F12" t="str">
        <f>PROPER(TRIM(Sales_Data!F148))</f>
        <v>Electronics</v>
      </c>
      <c r="G12">
        <f>IF(Sales_Data!G148=" ",0,Sales_Data!G148)</f>
        <v>11</v>
      </c>
      <c r="H12" s="6">
        <f>Sales_Data!H148</f>
        <v>18500</v>
      </c>
      <c r="I12">
        <f>Table2[[#This Row],[Units]]*Table2[[#This Row],[Unit Price]]</f>
        <v>203500</v>
      </c>
      <c r="J12" t="str">
        <f>_xlfn.XLOOKUP(Table2[[#This Row],[Region Clean]],Table4[Region],Table4[Manager])</f>
        <v>Meera Nair</v>
      </c>
    </row>
    <row r="13" spans="1:10" x14ac:dyDescent="0.35">
      <c r="A13" s="8">
        <v>1035</v>
      </c>
      <c r="B13" s="12">
        <v>45834</v>
      </c>
      <c r="C13" t="str">
        <f>PROPER(TRIM(Sales_Data!C131))</f>
        <v>South</v>
      </c>
      <c r="D13" t="str">
        <f>PROPER(TRIM(Sales_Data!D131))</f>
        <v>Karthik Iyer</v>
      </c>
      <c r="E13" t="str">
        <f>PROPER(TRIM(Sales_Data!E131))</f>
        <v>27In Monitor</v>
      </c>
      <c r="F13" t="str">
        <f>PROPER(TRIM(Sales_Data!F131))</f>
        <v>Electronics</v>
      </c>
      <c r="G13">
        <f>IF(Sales_Data!G131=" ",0,Sales_Data!G131)</f>
        <v>11</v>
      </c>
      <c r="H13" s="6">
        <f>Sales_Data!H131</f>
        <v>18500</v>
      </c>
      <c r="I13">
        <f>Table2[[#This Row],[Units]]*Table2[[#This Row],[Unit Price]]</f>
        <v>203500</v>
      </c>
      <c r="J13" t="str">
        <f>_xlfn.XLOOKUP(Table2[[#This Row],[Region Clean]],Table4[Region],Table4[Manager])</f>
        <v>Arjun Reddy</v>
      </c>
    </row>
    <row r="14" spans="1:10" x14ac:dyDescent="0.35">
      <c r="A14" s="8">
        <v>1150</v>
      </c>
      <c r="B14" s="12">
        <v>45795</v>
      </c>
      <c r="C14" t="str">
        <f>PROPER(TRIM(Sales_Data!C103))</f>
        <v>South</v>
      </c>
      <c r="D14" t="str">
        <f>PROPER(TRIM(Sales_Data!D103))</f>
        <v>Divya Sharma</v>
      </c>
      <c r="E14" t="str">
        <f>PROPER(TRIM(Sales_Data!E103))</f>
        <v>Standing Desk</v>
      </c>
      <c r="F14" t="str">
        <f>PROPER(TRIM(Sales_Data!F103))</f>
        <v>Furniture</v>
      </c>
      <c r="G14">
        <f>IF(Sales_Data!G103=" ",0,Sales_Data!G103)</f>
        <v>12</v>
      </c>
      <c r="H14" s="6">
        <f>Sales_Data!H103</f>
        <v>15500</v>
      </c>
      <c r="I14">
        <f>Table2[[#This Row],[Units]]*Table2[[#This Row],[Unit Price]]</f>
        <v>186000</v>
      </c>
      <c r="J14" t="str">
        <f>_xlfn.XLOOKUP(Table2[[#This Row],[Region Clean]],Table4[Region],Table4[Manager])</f>
        <v>Arjun Reddy</v>
      </c>
    </row>
    <row r="15" spans="1:10" x14ac:dyDescent="0.35">
      <c r="A15" s="8">
        <v>1059</v>
      </c>
      <c r="B15" s="12">
        <v>45807</v>
      </c>
      <c r="C15" t="str">
        <f>PROPER(TRIM(Sales_Data!C99))</f>
        <v>East</v>
      </c>
      <c r="D15" t="str">
        <f>PROPER(TRIM(Sales_Data!D99))</f>
        <v>Amit Ghosh</v>
      </c>
      <c r="E15" t="str">
        <f>PROPER(TRIM(Sales_Data!E99))</f>
        <v>Standing Desk</v>
      </c>
      <c r="F15" t="str">
        <f>PROPER(TRIM(Sales_Data!F99))</f>
        <v>Furniture</v>
      </c>
      <c r="G15">
        <f>IF(Sales_Data!G99=" ",0,Sales_Data!G99)</f>
        <v>11</v>
      </c>
      <c r="H15" s="6">
        <f>Sales_Data!H99</f>
        <v>15500</v>
      </c>
      <c r="I15">
        <f>Table2[[#This Row],[Units]]*Table2[[#This Row],[Unit Price]]</f>
        <v>170500</v>
      </c>
      <c r="J15" t="str">
        <f>_xlfn.XLOOKUP(Table2[[#This Row],[Region Clean]],Table4[Region],Table4[Manager])</f>
        <v>Kavita Bose</v>
      </c>
    </row>
    <row r="16" spans="1:10" x14ac:dyDescent="0.35">
      <c r="A16" s="8">
        <v>1075</v>
      </c>
      <c r="B16" s="12">
        <v>45751</v>
      </c>
      <c r="C16" t="str">
        <f>PROPER(TRIM(Sales_Data!C142))</f>
        <v>North</v>
      </c>
      <c r="D16" t="str">
        <f>PROPER(TRIM(Sales_Data!D142))</f>
        <v>Ananya Rao</v>
      </c>
      <c r="E16" t="str">
        <f>PROPER(TRIM(Sales_Data!E142))</f>
        <v>Standing Desk</v>
      </c>
      <c r="F16" t="str">
        <f>PROPER(TRIM(Sales_Data!F142))</f>
        <v>Furniture</v>
      </c>
      <c r="G16">
        <f>IF(Sales_Data!G142=" ",0,Sales_Data!G142)</f>
        <v>11</v>
      </c>
      <c r="H16" s="6">
        <f>Sales_Data!H142</f>
        <v>15500</v>
      </c>
      <c r="I16">
        <f>Table2[[#This Row],[Units]]*Table2[[#This Row],[Unit Price]]</f>
        <v>170500</v>
      </c>
      <c r="J16" t="str">
        <f>_xlfn.XLOOKUP(Table2[[#This Row],[Region Clean]],Table4[Region],Table4[Manager])</f>
        <v>Meera Nair</v>
      </c>
    </row>
    <row r="17" spans="1:10" x14ac:dyDescent="0.35">
      <c r="A17" s="8">
        <v>1107</v>
      </c>
      <c r="B17" s="12">
        <v>45779</v>
      </c>
      <c r="C17" t="str">
        <f>PROPER(TRIM(Sales_Data!C139))</f>
        <v>West</v>
      </c>
      <c r="D17" t="str">
        <f>PROPER(TRIM(Sales_Data!D139))</f>
        <v>Rohan Shah</v>
      </c>
      <c r="E17" t="str">
        <f>PROPER(TRIM(Sales_Data!E139))</f>
        <v>Standing Desk</v>
      </c>
      <c r="F17" t="str">
        <f>PROPER(TRIM(Sales_Data!F139))</f>
        <v>Furniture</v>
      </c>
      <c r="G17">
        <f>IF(Sales_Data!G139=" ",0,Sales_Data!G139)</f>
        <v>11</v>
      </c>
      <c r="H17" s="6">
        <f>Sales_Data!H139</f>
        <v>15500</v>
      </c>
      <c r="I17">
        <f>Table2[[#This Row],[Units]]*Table2[[#This Row],[Unit Price]]</f>
        <v>170500</v>
      </c>
      <c r="J17" t="str">
        <f>_xlfn.XLOOKUP(Table2[[#This Row],[Region Clean]],Table4[Region],Table4[Manager])</f>
        <v>Nikhil Verma</v>
      </c>
    </row>
    <row r="18" spans="1:10" x14ac:dyDescent="0.35">
      <c r="A18" s="8">
        <v>1049</v>
      </c>
      <c r="B18" s="12">
        <v>45681</v>
      </c>
      <c r="C18" t="str">
        <f>PROPER(TRIM(Sales_Data!C173))</f>
        <v>South</v>
      </c>
      <c r="D18" t="str">
        <f>PROPER(TRIM(Sales_Data!D173))</f>
        <v>Divya Sharma</v>
      </c>
      <c r="E18" t="str">
        <f>PROPER(TRIM(Sales_Data!E173))</f>
        <v>27In Monitor</v>
      </c>
      <c r="F18" t="str">
        <f>PROPER(TRIM(Sales_Data!F173))</f>
        <v>Electronics</v>
      </c>
      <c r="G18">
        <f>IF(Sales_Data!G173=" ",0,Sales_Data!G173)</f>
        <v>8</v>
      </c>
      <c r="H18" s="6">
        <f>Sales_Data!H173</f>
        <v>18500</v>
      </c>
      <c r="I18">
        <f>Table2[[#This Row],[Units]]*Table2[[#This Row],[Unit Price]]</f>
        <v>148000</v>
      </c>
      <c r="J18" t="str">
        <f>_xlfn.XLOOKUP(Table2[[#This Row],[Region Clean]],Table4[Region],Table4[Manager])</f>
        <v>Arjun Reddy</v>
      </c>
    </row>
    <row r="19" spans="1:10" x14ac:dyDescent="0.35">
      <c r="A19" s="8">
        <v>1034</v>
      </c>
      <c r="B19" s="12">
        <v>45700</v>
      </c>
      <c r="C19" t="str">
        <f>PROPER(TRIM(Sales_Data!C162))</f>
        <v>East</v>
      </c>
      <c r="D19" t="str">
        <f>PROPER(TRIM(Sales_Data!D162))</f>
        <v>Amit Ghosh</v>
      </c>
      <c r="E19" t="str">
        <f>PROPER(TRIM(Sales_Data!E162))</f>
        <v>Standing Desk</v>
      </c>
      <c r="F19" t="str">
        <f>PROPER(TRIM(Sales_Data!F162))</f>
        <v>Furniture</v>
      </c>
      <c r="G19">
        <f>IF(Sales_Data!G162=" ",0,Sales_Data!G162)</f>
        <v>9</v>
      </c>
      <c r="H19" s="6">
        <f>Sales_Data!H162</f>
        <v>15500</v>
      </c>
      <c r="I19">
        <f>Table2[[#This Row],[Units]]*Table2[[#This Row],[Unit Price]]</f>
        <v>139500</v>
      </c>
      <c r="J19" t="str">
        <f>_xlfn.XLOOKUP(Table2[[#This Row],[Region Clean]],Table4[Region],Table4[Manager])</f>
        <v>Kavita Bose</v>
      </c>
    </row>
    <row r="20" spans="1:10" x14ac:dyDescent="0.35">
      <c r="A20" s="8">
        <v>1085</v>
      </c>
      <c r="B20" s="12">
        <v>45724</v>
      </c>
      <c r="C20" t="str">
        <f>PROPER(TRIM(Sales_Data!C111))</f>
        <v>South</v>
      </c>
      <c r="D20" t="str">
        <f>PROPER(TRIM(Sales_Data!D111))</f>
        <v>Karthik Iyer</v>
      </c>
      <c r="E20" t="str">
        <f>PROPER(TRIM(Sales_Data!E111))</f>
        <v>Laptop Pro 14</v>
      </c>
      <c r="F20" t="str">
        <f>PROPER(TRIM(Sales_Data!F111))</f>
        <v>Electronics</v>
      </c>
      <c r="G20">
        <f>IF(Sales_Data!G111=" ",0,Sales_Data!G111)</f>
        <v>2</v>
      </c>
      <c r="H20" s="6">
        <f>Sales_Data!H111</f>
        <v>68000</v>
      </c>
      <c r="I20">
        <f>Table2[[#This Row],[Units]]*Table2[[#This Row],[Unit Price]]</f>
        <v>136000</v>
      </c>
      <c r="J20" t="str">
        <f>_xlfn.XLOOKUP(Table2[[#This Row],[Region Clean]],Table4[Region],Table4[Manager])</f>
        <v>Arjun Reddy</v>
      </c>
    </row>
    <row r="21" spans="1:10" x14ac:dyDescent="0.35">
      <c r="A21" s="8">
        <v>1038</v>
      </c>
      <c r="B21" s="12">
        <v>45663</v>
      </c>
      <c r="C21" t="str">
        <f>PROPER(TRIM(Sales_Data!C134))</f>
        <v>South</v>
      </c>
      <c r="D21" t="str">
        <f>PROPER(TRIM(Sales_Data!D134))</f>
        <v>Divya Sharma</v>
      </c>
      <c r="E21" t="str">
        <f>PROPER(TRIM(Sales_Data!E134))</f>
        <v>Laptop Pro 14</v>
      </c>
      <c r="F21" t="str">
        <f>PROPER(TRIM(Sales_Data!F134))</f>
        <v>Electronics</v>
      </c>
      <c r="G21">
        <f>IF(Sales_Data!G134=" ",0,Sales_Data!G134)</f>
        <v>2</v>
      </c>
      <c r="H21" s="6">
        <f>Sales_Data!H134</f>
        <v>68000</v>
      </c>
      <c r="I21">
        <f>Table2[[#This Row],[Units]]*Table2[[#This Row],[Unit Price]]</f>
        <v>136000</v>
      </c>
      <c r="J21" t="str">
        <f>_xlfn.XLOOKUP(Table2[[#This Row],[Region Clean]],Table4[Region],Table4[Manager])</f>
        <v>Arjun Reddy</v>
      </c>
    </row>
    <row r="22" spans="1:10" x14ac:dyDescent="0.35">
      <c r="A22" s="8">
        <v>1003</v>
      </c>
      <c r="B22" s="12">
        <v>45809</v>
      </c>
      <c r="C22" t="str">
        <f>PROPER(TRIM(Sales_Data!C47))</f>
        <v>West</v>
      </c>
      <c r="D22" t="str">
        <f>PROPER(TRIM(Sales_Data!D47))</f>
        <v>Priya Mehta</v>
      </c>
      <c r="E22" t="str">
        <f>PROPER(TRIM(Sales_Data!E47))</f>
        <v>Laptop Pro 14</v>
      </c>
      <c r="F22" t="str">
        <f>PROPER(TRIM(Sales_Data!F47))</f>
        <v>Electronics</v>
      </c>
      <c r="G22">
        <f>IF(Sales_Data!G47=" ",0,Sales_Data!G47)</f>
        <v>2</v>
      </c>
      <c r="H22" s="6">
        <f>Sales_Data!H47</f>
        <v>68000</v>
      </c>
      <c r="I22">
        <f>Table2[[#This Row],[Units]]*Table2[[#This Row],[Unit Price]]</f>
        <v>136000</v>
      </c>
      <c r="J22" t="str">
        <f>_xlfn.XLOOKUP(Table2[[#This Row],[Region Clean]],Table4[Region],Table4[Manager])</f>
        <v>Nikhil Verma</v>
      </c>
    </row>
    <row r="23" spans="1:10" x14ac:dyDescent="0.35">
      <c r="A23" s="8">
        <v>1084</v>
      </c>
      <c r="B23" s="12">
        <v>45788</v>
      </c>
      <c r="C23" t="str">
        <f>PROPER(TRIM(Sales_Data!C85))</f>
        <v>West</v>
      </c>
      <c r="D23" t="str">
        <f>PROPER(TRIM(Sales_Data!D85))</f>
        <v>Rohan Shah</v>
      </c>
      <c r="E23" t="str">
        <f>PROPER(TRIM(Sales_Data!E85))</f>
        <v>Laptop Pro 14</v>
      </c>
      <c r="F23" t="str">
        <f>PROPER(TRIM(Sales_Data!F85))</f>
        <v>Electronics</v>
      </c>
      <c r="G23">
        <f>IF(Sales_Data!G85=" ",0,Sales_Data!G85)</f>
        <v>2</v>
      </c>
      <c r="H23" s="6">
        <f>Sales_Data!H85</f>
        <v>68000</v>
      </c>
      <c r="I23">
        <f>Table2[[#This Row],[Units]]*Table2[[#This Row],[Unit Price]]</f>
        <v>136000</v>
      </c>
      <c r="J23" t="str">
        <f>_xlfn.XLOOKUP(Table2[[#This Row],[Region Clean]],Table4[Region],Table4[Manager])</f>
        <v>Nikhil Verma</v>
      </c>
    </row>
    <row r="24" spans="1:10" x14ac:dyDescent="0.35">
      <c r="A24" s="8">
        <v>1082</v>
      </c>
      <c r="B24" s="12">
        <v>45715</v>
      </c>
      <c r="C24" t="str">
        <f>PROPER(TRIM(Sales_Data!C56))</f>
        <v>North</v>
      </c>
      <c r="D24" t="str">
        <f>PROPER(TRIM(Sales_Data!D56))</f>
        <v>Ravi Kumar</v>
      </c>
      <c r="E24" t="str">
        <f>PROPER(TRIM(Sales_Data!E56))</f>
        <v>27In Monitor</v>
      </c>
      <c r="F24" t="str">
        <f>PROPER(TRIM(Sales_Data!F56))</f>
        <v>Electronics</v>
      </c>
      <c r="G24">
        <f>IF(Sales_Data!G56=" ",0,Sales_Data!G56)</f>
        <v>6</v>
      </c>
      <c r="H24" s="6">
        <f>Sales_Data!H56</f>
        <v>18500</v>
      </c>
      <c r="I24">
        <f>Table2[[#This Row],[Units]]*Table2[[#This Row],[Unit Price]]</f>
        <v>111000</v>
      </c>
      <c r="J24" t="str">
        <f>_xlfn.XLOOKUP(Table2[[#This Row],[Region Clean]],Table4[Region],Table4[Manager])</f>
        <v>Meera Nair</v>
      </c>
    </row>
    <row r="25" spans="1:10" x14ac:dyDescent="0.35">
      <c r="A25" s="8">
        <v>1006</v>
      </c>
      <c r="B25" s="12">
        <v>45729</v>
      </c>
      <c r="C25" t="str">
        <f>PROPER(TRIM(Sales_Data!C90))</f>
        <v>North</v>
      </c>
      <c r="D25" t="str">
        <f>PROPER(TRIM(Sales_Data!D90))</f>
        <v>Ravi Kumar</v>
      </c>
      <c r="E25" t="str">
        <f>PROPER(TRIM(Sales_Data!E90))</f>
        <v>27In Monitor</v>
      </c>
      <c r="F25" t="str">
        <f>PROPER(TRIM(Sales_Data!F90))</f>
        <v>Electronics</v>
      </c>
      <c r="G25">
        <f>IF(Sales_Data!G90=" ",0,Sales_Data!G90)</f>
        <v>6</v>
      </c>
      <c r="H25" s="6">
        <f>Sales_Data!H90</f>
        <v>18500</v>
      </c>
      <c r="I25">
        <f>Table2[[#This Row],[Units]]*Table2[[#This Row],[Unit Price]]</f>
        <v>111000</v>
      </c>
      <c r="J25" t="str">
        <f>_xlfn.XLOOKUP(Table2[[#This Row],[Region Clean]],Table4[Region],Table4[Manager])</f>
        <v>Meera Nair</v>
      </c>
    </row>
    <row r="26" spans="1:10" x14ac:dyDescent="0.35">
      <c r="A26" s="8">
        <v>1117</v>
      </c>
      <c r="B26" s="12">
        <v>45769</v>
      </c>
      <c r="C26" t="str">
        <f>PROPER(TRIM(Sales_Data!C135))</f>
        <v>West</v>
      </c>
      <c r="D26" t="str">
        <f>PROPER(TRIM(Sales_Data!D135))</f>
        <v>Priya Mehta</v>
      </c>
      <c r="E26" t="str">
        <f>PROPER(TRIM(Sales_Data!E135))</f>
        <v>27In Monitor</v>
      </c>
      <c r="F26" t="str">
        <f>PROPER(TRIM(Sales_Data!F135))</f>
        <v>Electronics</v>
      </c>
      <c r="G26">
        <f>IF(Sales_Data!G135=" ",0,Sales_Data!G135)</f>
        <v>6</v>
      </c>
      <c r="H26" s="6">
        <f>Sales_Data!H135</f>
        <v>18500</v>
      </c>
      <c r="I26">
        <f>Table2[[#This Row],[Units]]*Table2[[#This Row],[Unit Price]]</f>
        <v>111000</v>
      </c>
      <c r="J26" t="str">
        <f>_xlfn.XLOOKUP(Table2[[#This Row],[Region Clean]],Table4[Region],Table4[Manager])</f>
        <v>Nikhil Verma</v>
      </c>
    </row>
    <row r="27" spans="1:10" x14ac:dyDescent="0.35">
      <c r="A27" s="8">
        <v>1092</v>
      </c>
      <c r="B27" s="12">
        <v>45836</v>
      </c>
      <c r="C27" t="str">
        <f>PROPER(TRIM(Sales_Data!C86))</f>
        <v>East</v>
      </c>
      <c r="D27" t="str">
        <f>PROPER(TRIM(Sales_Data!D86))</f>
        <v>Sneha Das</v>
      </c>
      <c r="E27" t="str">
        <f>PROPER(TRIM(Sales_Data!E86))</f>
        <v>Standing Desk</v>
      </c>
      <c r="F27" t="str">
        <f>PROPER(TRIM(Sales_Data!F86))</f>
        <v>Furniture</v>
      </c>
      <c r="G27">
        <f>IF(Sales_Data!G86=" ",0,Sales_Data!G86)</f>
        <v>7</v>
      </c>
      <c r="H27" s="6">
        <f>Sales_Data!H86</f>
        <v>15500</v>
      </c>
      <c r="I27">
        <f>Table2[[#This Row],[Units]]*Table2[[#This Row],[Unit Price]]</f>
        <v>108500</v>
      </c>
      <c r="J27" t="str">
        <f>_xlfn.XLOOKUP(Table2[[#This Row],[Region Clean]],Table4[Region],Table4[Manager])</f>
        <v>Kavita Bose</v>
      </c>
    </row>
    <row r="28" spans="1:10" x14ac:dyDescent="0.35">
      <c r="A28" s="8">
        <v>1140</v>
      </c>
      <c r="B28" s="12">
        <v>45741</v>
      </c>
      <c r="C28" t="str">
        <f>PROPER(TRIM(Sales_Data!C100))</f>
        <v>South</v>
      </c>
      <c r="D28" t="str">
        <f>PROPER(TRIM(Sales_Data!D100))</f>
        <v>Karthik Iyer</v>
      </c>
      <c r="E28" t="str">
        <f>PROPER(TRIM(Sales_Data!E100))</f>
        <v>Standing Desk</v>
      </c>
      <c r="F28" t="str">
        <f>PROPER(TRIM(Sales_Data!F100))</f>
        <v>Furniture</v>
      </c>
      <c r="G28">
        <f>IF(Sales_Data!G100=" ",0,Sales_Data!G100)</f>
        <v>6</v>
      </c>
      <c r="H28" s="6">
        <f>Sales_Data!H100</f>
        <v>15500</v>
      </c>
      <c r="I28">
        <f>Table2[[#This Row],[Units]]*Table2[[#This Row],[Unit Price]]</f>
        <v>93000</v>
      </c>
      <c r="J28" t="str">
        <f>_xlfn.XLOOKUP(Table2[[#This Row],[Region Clean]],Table4[Region],Table4[Manager])</f>
        <v>Arjun Reddy</v>
      </c>
    </row>
    <row r="29" spans="1:10" x14ac:dyDescent="0.35">
      <c r="A29" s="8">
        <v>1079</v>
      </c>
      <c r="B29" s="12">
        <v>45829</v>
      </c>
      <c r="C29" t="str">
        <f>PROPER(TRIM(Sales_Data!C31))</f>
        <v>South</v>
      </c>
      <c r="D29" t="str">
        <f>PROPER(TRIM(Sales_Data!D31))</f>
        <v>Karthik Iyer</v>
      </c>
      <c r="E29" t="str">
        <f>PROPER(TRIM(Sales_Data!E31))</f>
        <v>Office Chair</v>
      </c>
      <c r="F29" t="str">
        <f>PROPER(TRIM(Sales_Data!F31))</f>
        <v>Furniture</v>
      </c>
      <c r="G29">
        <f>IF(Sales_Data!G31=" ",0,Sales_Data!G31)</f>
        <v>12</v>
      </c>
      <c r="H29" s="6">
        <f>Sales_Data!H31</f>
        <v>6500</v>
      </c>
      <c r="I29">
        <f>Table2[[#This Row],[Units]]*Table2[[#This Row],[Unit Price]]</f>
        <v>78000</v>
      </c>
      <c r="J29" t="str">
        <f>_xlfn.XLOOKUP(Table2[[#This Row],[Region Clean]],Table4[Region],Table4[Manager])</f>
        <v>Arjun Reddy</v>
      </c>
    </row>
    <row r="30" spans="1:10" x14ac:dyDescent="0.35">
      <c r="A30" s="8">
        <v>1106</v>
      </c>
      <c r="B30" s="12">
        <v>45787</v>
      </c>
      <c r="C30" t="str">
        <f>PROPER(TRIM(Sales_Data!C175))</f>
        <v>West</v>
      </c>
      <c r="D30" t="str">
        <f>PROPER(TRIM(Sales_Data!D175))</f>
        <v>Rohan Shah</v>
      </c>
      <c r="E30" t="str">
        <f>PROPER(TRIM(Sales_Data!E175))</f>
        <v>Office Chair</v>
      </c>
      <c r="F30" t="str">
        <f>PROPER(TRIM(Sales_Data!F175))</f>
        <v>Furniture</v>
      </c>
      <c r="G30">
        <f>IF(Sales_Data!G175=" ",0,Sales_Data!G175)</f>
        <v>12</v>
      </c>
      <c r="H30" s="6">
        <f>Sales_Data!H175</f>
        <v>6500</v>
      </c>
      <c r="I30">
        <f>Table2[[#This Row],[Units]]*Table2[[#This Row],[Unit Price]]</f>
        <v>78000</v>
      </c>
      <c r="J30" t="str">
        <f>_xlfn.XLOOKUP(Table2[[#This Row],[Region Clean]],Table4[Region],Table4[Manager])</f>
        <v>Nikhil Verma</v>
      </c>
    </row>
    <row r="31" spans="1:10" x14ac:dyDescent="0.35">
      <c r="A31" s="8">
        <v>1102</v>
      </c>
      <c r="B31" s="12">
        <v>45695</v>
      </c>
      <c r="C31" t="str">
        <f>PROPER(TRIM(Sales_Data!C127))</f>
        <v>North</v>
      </c>
      <c r="D31" t="str">
        <f>PROPER(TRIM(Sales_Data!D127))</f>
        <v>Ravi Kumar</v>
      </c>
      <c r="E31" t="str">
        <f>PROPER(TRIM(Sales_Data!E127))</f>
        <v>27In Monitor</v>
      </c>
      <c r="F31" t="str">
        <f>PROPER(TRIM(Sales_Data!F127))</f>
        <v>Electronics</v>
      </c>
      <c r="G31">
        <f>IF(Sales_Data!G127=" ",0,Sales_Data!G127)</f>
        <v>4</v>
      </c>
      <c r="H31" s="6">
        <f>Sales_Data!H127</f>
        <v>18500</v>
      </c>
      <c r="I31">
        <f>Table2[[#This Row],[Units]]*Table2[[#This Row],[Unit Price]]</f>
        <v>74000</v>
      </c>
      <c r="J31" t="str">
        <f>_xlfn.XLOOKUP(Table2[[#This Row],[Region Clean]],Table4[Region],Table4[Manager])</f>
        <v>Meera Nair</v>
      </c>
    </row>
    <row r="32" spans="1:10" x14ac:dyDescent="0.35">
      <c r="A32" s="8">
        <v>1042</v>
      </c>
      <c r="B32" s="12">
        <v>45779</v>
      </c>
      <c r="C32" t="str">
        <f>PROPER(TRIM(Sales_Data!C98))</f>
        <v>South</v>
      </c>
      <c r="D32" t="str">
        <f>PROPER(TRIM(Sales_Data!D98))</f>
        <v>Karthik Iyer</v>
      </c>
      <c r="E32" t="str">
        <f>PROPER(TRIM(Sales_Data!E98))</f>
        <v>27In Monitor</v>
      </c>
      <c r="F32" t="str">
        <f>PROPER(TRIM(Sales_Data!F98))</f>
        <v>Electronics</v>
      </c>
      <c r="G32">
        <f>IF(Sales_Data!G98=" ",0,Sales_Data!G98)</f>
        <v>4</v>
      </c>
      <c r="H32" s="6">
        <f>Sales_Data!H98</f>
        <v>18500</v>
      </c>
      <c r="I32">
        <f>Table2[[#This Row],[Units]]*Table2[[#This Row],[Unit Price]]</f>
        <v>74000</v>
      </c>
      <c r="J32" t="str">
        <f>_xlfn.XLOOKUP(Table2[[#This Row],[Region Clean]],Table4[Region],Table4[Manager])</f>
        <v>Arjun Reddy</v>
      </c>
    </row>
    <row r="33" spans="1:10" x14ac:dyDescent="0.35">
      <c r="A33" s="8">
        <v>1101</v>
      </c>
      <c r="B33" s="12">
        <v>45836</v>
      </c>
      <c r="C33" t="str">
        <f>PROPER(TRIM(Sales_Data!C122))</f>
        <v>West</v>
      </c>
      <c r="D33" t="str">
        <f>PROPER(TRIM(Sales_Data!D122))</f>
        <v>Rohan Shah</v>
      </c>
      <c r="E33" t="str">
        <f>PROPER(TRIM(Sales_Data!E122))</f>
        <v>27In Monitor</v>
      </c>
      <c r="F33" t="str">
        <f>PROPER(TRIM(Sales_Data!F122))</f>
        <v>Electronics</v>
      </c>
      <c r="G33">
        <f>IF(Sales_Data!G122=" ",0,Sales_Data!G122)</f>
        <v>4</v>
      </c>
      <c r="H33" s="6">
        <f>Sales_Data!H122</f>
        <v>18500</v>
      </c>
      <c r="I33">
        <f>Table2[[#This Row],[Units]]*Table2[[#This Row],[Unit Price]]</f>
        <v>74000</v>
      </c>
      <c r="J33" t="str">
        <f>_xlfn.XLOOKUP(Table2[[#This Row],[Region Clean]],Table4[Region],Table4[Manager])</f>
        <v>Nikhil Verma</v>
      </c>
    </row>
    <row r="34" spans="1:10" x14ac:dyDescent="0.35">
      <c r="A34" s="8">
        <v>1023</v>
      </c>
      <c r="B34" s="12">
        <v>45681</v>
      </c>
      <c r="C34" t="str">
        <f>PROPER(TRIM(Sales_Data!C2))</f>
        <v>North</v>
      </c>
      <c r="D34" t="str">
        <f>PROPER(TRIM(Sales_Data!D2))</f>
        <v>Ravi Kumar</v>
      </c>
      <c r="E34" t="str">
        <f>PROPER(TRIM(Sales_Data!E2))</f>
        <v>Office Chair</v>
      </c>
      <c r="F34" t="str">
        <f>PROPER(TRIM(Sales_Data!F2))</f>
        <v>Furniture</v>
      </c>
      <c r="G34">
        <f>IF(Sales_Data!G2=" ",0,Sales_Data!G2)</f>
        <v>11</v>
      </c>
      <c r="H34" s="6">
        <f>Sales_Data!H2</f>
        <v>6500</v>
      </c>
      <c r="I34">
        <f>Table2[[#This Row],[Units]]*Table2[[#This Row],[Unit Price]]</f>
        <v>71500</v>
      </c>
      <c r="J34" t="str">
        <f>_xlfn.XLOOKUP(Table2[[#This Row],[Region Clean]],Table4[Region],Table4[Manager])</f>
        <v>Meera Nair</v>
      </c>
    </row>
    <row r="35" spans="1:10" x14ac:dyDescent="0.35">
      <c r="A35" s="8">
        <v>1096</v>
      </c>
      <c r="B35" s="12">
        <v>45771</v>
      </c>
      <c r="C35" t="str">
        <f>PROPER(TRIM(Sales_Data!C54))</f>
        <v>South</v>
      </c>
      <c r="D35" t="str">
        <f>PROPER(TRIM(Sales_Data!D54))</f>
        <v>Karthik Iyer</v>
      </c>
      <c r="E35" t="str">
        <f>PROPER(TRIM(Sales_Data!E54))</f>
        <v>Office Chair</v>
      </c>
      <c r="F35" t="str">
        <f>PROPER(TRIM(Sales_Data!F54))</f>
        <v>Furniture</v>
      </c>
      <c r="G35">
        <f>IF(Sales_Data!G54=" ",0,Sales_Data!G54)</f>
        <v>11</v>
      </c>
      <c r="H35" s="6">
        <f>Sales_Data!H54</f>
        <v>6500</v>
      </c>
      <c r="I35">
        <f>Table2[[#This Row],[Units]]*Table2[[#This Row],[Unit Price]]</f>
        <v>71500</v>
      </c>
      <c r="J35" t="str">
        <f>_xlfn.XLOOKUP(Table2[[#This Row],[Region Clean]],Table4[Region],Table4[Manager])</f>
        <v>Arjun Reddy</v>
      </c>
    </row>
    <row r="36" spans="1:10" x14ac:dyDescent="0.35">
      <c r="A36" s="8">
        <v>1054</v>
      </c>
      <c r="B36" s="12">
        <v>45796</v>
      </c>
      <c r="C36" t="str">
        <f>PROPER(TRIM(Sales_Data!C125))</f>
        <v>North</v>
      </c>
      <c r="D36" t="str">
        <f>PROPER(TRIM(Sales_Data!D125))</f>
        <v>Ananya Rao</v>
      </c>
      <c r="E36" t="str">
        <f>PROPER(TRIM(Sales_Data!E125))</f>
        <v>Laptop Pro 14</v>
      </c>
      <c r="F36" t="str">
        <f>PROPER(TRIM(Sales_Data!F125))</f>
        <v>Electronics</v>
      </c>
      <c r="G36">
        <f>IF(Sales_Data!G125=" ",0,Sales_Data!G125)</f>
        <v>1</v>
      </c>
      <c r="H36" s="6">
        <f>Sales_Data!H125</f>
        <v>68000</v>
      </c>
      <c r="I36">
        <f>Table2[[#This Row],[Units]]*Table2[[#This Row],[Unit Price]]</f>
        <v>68000</v>
      </c>
      <c r="J36" t="str">
        <f>_xlfn.XLOOKUP(Table2[[#This Row],[Region Clean]],Table4[Region],Table4[Manager])</f>
        <v>Meera Nair</v>
      </c>
    </row>
    <row r="37" spans="1:10" x14ac:dyDescent="0.35">
      <c r="A37" s="8">
        <v>1153</v>
      </c>
      <c r="B37" s="12">
        <v>45661</v>
      </c>
      <c r="C37" t="str">
        <f>PROPER(TRIM(Sales_Data!C22))</f>
        <v>South</v>
      </c>
      <c r="D37" t="str">
        <f>PROPER(TRIM(Sales_Data!D22))</f>
        <v>Karthik Iyer</v>
      </c>
      <c r="E37" t="str">
        <f>PROPER(TRIM(Sales_Data!E22))</f>
        <v>Laptop Pro 14</v>
      </c>
      <c r="F37" t="str">
        <f>PROPER(TRIM(Sales_Data!F22))</f>
        <v>Electronics</v>
      </c>
      <c r="G37">
        <f>IF(Sales_Data!G22=" ",0,Sales_Data!G22)</f>
        <v>1</v>
      </c>
      <c r="H37" s="6">
        <f>Sales_Data!H22</f>
        <v>68000</v>
      </c>
      <c r="I37">
        <f>Table2[[#This Row],[Units]]*Table2[[#This Row],[Unit Price]]</f>
        <v>68000</v>
      </c>
      <c r="J37" t="str">
        <f>_xlfn.XLOOKUP(Table2[[#This Row],[Region Clean]],Table4[Region],Table4[Manager])</f>
        <v>Arjun Reddy</v>
      </c>
    </row>
    <row r="38" spans="1:10" x14ac:dyDescent="0.35">
      <c r="A38" s="8">
        <v>1158</v>
      </c>
      <c r="B38" s="12">
        <v>45805</v>
      </c>
      <c r="C38" t="str">
        <f>PROPER(TRIM(Sales_Data!C9))</f>
        <v>North</v>
      </c>
      <c r="D38" t="str">
        <f>PROPER(TRIM(Sales_Data!D9))</f>
        <v>Ravi Kumar</v>
      </c>
      <c r="E38" t="str">
        <f>PROPER(TRIM(Sales_Data!E9))</f>
        <v>Office Chair</v>
      </c>
      <c r="F38" t="str">
        <f>PROPER(TRIM(Sales_Data!F9))</f>
        <v>Furniture</v>
      </c>
      <c r="G38">
        <f>IF(Sales_Data!G9=" ",0,Sales_Data!G9)</f>
        <v>10</v>
      </c>
      <c r="H38" s="6">
        <f>Sales_Data!H9</f>
        <v>6500</v>
      </c>
      <c r="I38">
        <f>Table2[[#This Row],[Units]]*Table2[[#This Row],[Unit Price]]</f>
        <v>65000</v>
      </c>
      <c r="J38" t="str">
        <f>_xlfn.XLOOKUP(Table2[[#This Row],[Region Clean]],Table4[Region],Table4[Manager])</f>
        <v>Meera Nair</v>
      </c>
    </row>
    <row r="39" spans="1:10" x14ac:dyDescent="0.35">
      <c r="A39" s="8">
        <v>1176</v>
      </c>
      <c r="B39" s="12">
        <v>45790</v>
      </c>
      <c r="C39" t="str">
        <f>PROPER(TRIM(Sales_Data!C101))</f>
        <v>West</v>
      </c>
      <c r="D39" t="str">
        <f>PROPER(TRIM(Sales_Data!D101))</f>
        <v>Rohan Shah</v>
      </c>
      <c r="E39" t="str">
        <f>PROPER(TRIM(Sales_Data!E101))</f>
        <v>Office Chair</v>
      </c>
      <c r="F39" t="str">
        <f>PROPER(TRIM(Sales_Data!F101))</f>
        <v>Furniture</v>
      </c>
      <c r="G39">
        <f>IF(Sales_Data!G101=" ",0,Sales_Data!G101)</f>
        <v>10</v>
      </c>
      <c r="H39" s="6">
        <f>Sales_Data!H101</f>
        <v>6500</v>
      </c>
      <c r="I39">
        <f>Table2[[#This Row],[Units]]*Table2[[#This Row],[Unit Price]]</f>
        <v>65000</v>
      </c>
      <c r="J39" t="str">
        <f>_xlfn.XLOOKUP(Table2[[#This Row],[Region Clean]],Table4[Region],Table4[Manager])</f>
        <v>Nikhil Verma</v>
      </c>
    </row>
    <row r="40" spans="1:10" x14ac:dyDescent="0.35">
      <c r="A40" s="8">
        <v>1045</v>
      </c>
      <c r="B40" s="12">
        <v>45761</v>
      </c>
      <c r="C40" t="str">
        <f>PROPER(TRIM(Sales_Data!C105))</f>
        <v>East</v>
      </c>
      <c r="D40" t="str">
        <f>PROPER(TRIM(Sales_Data!D105))</f>
        <v>Sneha Das</v>
      </c>
      <c r="E40" t="str">
        <f>PROPER(TRIM(Sales_Data!E105))</f>
        <v>Standing Desk</v>
      </c>
      <c r="F40" t="str">
        <f>PROPER(TRIM(Sales_Data!F105))</f>
        <v>Furniture</v>
      </c>
      <c r="G40">
        <f>IF(Sales_Data!G105=" ",0,Sales_Data!G105)</f>
        <v>4</v>
      </c>
      <c r="H40" s="6">
        <f>Sales_Data!H105</f>
        <v>15500</v>
      </c>
      <c r="I40">
        <f>Table2[[#This Row],[Units]]*Table2[[#This Row],[Unit Price]]</f>
        <v>62000</v>
      </c>
      <c r="J40" t="str">
        <f>_xlfn.XLOOKUP(Table2[[#This Row],[Region Clean]],Table4[Region],Table4[Manager])</f>
        <v>Kavita Bose</v>
      </c>
    </row>
    <row r="41" spans="1:10" x14ac:dyDescent="0.35">
      <c r="A41" s="8">
        <v>1120</v>
      </c>
      <c r="B41" s="12">
        <v>45827</v>
      </c>
      <c r="C41" t="str">
        <f>PROPER(TRIM(Sales_Data!C123))</f>
        <v>North</v>
      </c>
      <c r="D41" t="str">
        <f>PROPER(TRIM(Sales_Data!D123))</f>
        <v>Ravi Kumar</v>
      </c>
      <c r="E41" t="str">
        <f>PROPER(TRIM(Sales_Data!E123))</f>
        <v>27In Monitor</v>
      </c>
      <c r="F41" t="str">
        <f>PROPER(TRIM(Sales_Data!F123))</f>
        <v>Electronics</v>
      </c>
      <c r="G41">
        <f>IF(Sales_Data!G123=" ",0,Sales_Data!G123)</f>
        <v>3</v>
      </c>
      <c r="H41" s="6">
        <f>Sales_Data!H123</f>
        <v>18500</v>
      </c>
      <c r="I41">
        <f>Table2[[#This Row],[Units]]*Table2[[#This Row],[Unit Price]]</f>
        <v>55500</v>
      </c>
      <c r="J41" t="str">
        <f>_xlfn.XLOOKUP(Table2[[#This Row],[Region Clean]],Table4[Region],Table4[Manager])</f>
        <v>Meera Nair</v>
      </c>
    </row>
    <row r="42" spans="1:10" x14ac:dyDescent="0.35">
      <c r="A42" s="8">
        <v>1060</v>
      </c>
      <c r="B42" s="12">
        <v>45738</v>
      </c>
      <c r="C42" t="str">
        <f>PROPER(TRIM(Sales_Data!C20))</f>
        <v>South</v>
      </c>
      <c r="D42" t="str">
        <f>PROPER(TRIM(Sales_Data!D20))</f>
        <v>Karthik Iyer</v>
      </c>
      <c r="E42" t="str">
        <f>PROPER(TRIM(Sales_Data!E20))</f>
        <v>27In Monitor</v>
      </c>
      <c r="F42" t="str">
        <f>PROPER(TRIM(Sales_Data!F20))</f>
        <v>Electronics</v>
      </c>
      <c r="G42">
        <f>IF(Sales_Data!G20=" ",0,Sales_Data!G20)</f>
        <v>3</v>
      </c>
      <c r="H42" s="6">
        <f>Sales_Data!H20</f>
        <v>18500</v>
      </c>
      <c r="I42">
        <f>Table2[[#This Row],[Units]]*Table2[[#This Row],[Unit Price]]</f>
        <v>55500</v>
      </c>
      <c r="J42" t="str">
        <f>_xlfn.XLOOKUP(Table2[[#This Row],[Region Clean]],Table4[Region],Table4[Manager])</f>
        <v>Arjun Reddy</v>
      </c>
    </row>
    <row r="43" spans="1:10" x14ac:dyDescent="0.35">
      <c r="A43" s="8">
        <v>1046</v>
      </c>
      <c r="B43" s="12">
        <v>45706</v>
      </c>
      <c r="C43" t="str">
        <f>PROPER(TRIM(Sales_Data!C51))</f>
        <v>West</v>
      </c>
      <c r="D43" t="str">
        <f>PROPER(TRIM(Sales_Data!D51))</f>
        <v>Priya Mehta</v>
      </c>
      <c r="E43" t="str">
        <f>PROPER(TRIM(Sales_Data!E51))</f>
        <v>27In Monitor</v>
      </c>
      <c r="F43" t="str">
        <f>PROPER(TRIM(Sales_Data!F51))</f>
        <v>Electronics</v>
      </c>
      <c r="G43">
        <f>IF(Sales_Data!G51=" ",0,Sales_Data!G51)</f>
        <v>3</v>
      </c>
      <c r="H43" s="6">
        <f>Sales_Data!H51</f>
        <v>18500</v>
      </c>
      <c r="I43">
        <f>Table2[[#This Row],[Units]]*Table2[[#This Row],[Unit Price]]</f>
        <v>55500</v>
      </c>
      <c r="J43" t="str">
        <f>_xlfn.XLOOKUP(Table2[[#This Row],[Region Clean]],Table4[Region],Table4[Manager])</f>
        <v>Nikhil Verma</v>
      </c>
    </row>
    <row r="44" spans="1:10" x14ac:dyDescent="0.35">
      <c r="A44" s="8">
        <v>1064</v>
      </c>
      <c r="B44" s="12">
        <v>45720</v>
      </c>
      <c r="C44" t="str">
        <f>PROPER(TRIM(Sales_Data!C83))</f>
        <v>East</v>
      </c>
      <c r="D44" t="str">
        <f>PROPER(TRIM(Sales_Data!D83))</f>
        <v>Amit Ghosh</v>
      </c>
      <c r="E44" t="str">
        <f>PROPER(TRIM(Sales_Data!E83))</f>
        <v>Office Chair</v>
      </c>
      <c r="F44" t="str">
        <f>PROPER(TRIM(Sales_Data!F83))</f>
        <v>Furniture</v>
      </c>
      <c r="G44">
        <f>IF(Sales_Data!G83=" ",0,Sales_Data!G83)</f>
        <v>8</v>
      </c>
      <c r="H44" s="6">
        <f>Sales_Data!H83</f>
        <v>6500</v>
      </c>
      <c r="I44">
        <f>Table2[[#This Row],[Units]]*Table2[[#This Row],[Unit Price]]</f>
        <v>52000</v>
      </c>
      <c r="J44" t="str">
        <f>_xlfn.XLOOKUP(Table2[[#This Row],[Region Clean]],Table4[Region],Table4[Manager])</f>
        <v>Kavita Bose</v>
      </c>
    </row>
    <row r="45" spans="1:10" x14ac:dyDescent="0.35">
      <c r="A45" s="8">
        <v>1175</v>
      </c>
      <c r="B45" s="12">
        <v>45663</v>
      </c>
      <c r="C45" t="str">
        <f>PROPER(TRIM(Sales_Data!C146))</f>
        <v>East</v>
      </c>
      <c r="D45" t="str">
        <f>PROPER(TRIM(Sales_Data!D146))</f>
        <v>Sneha Das</v>
      </c>
      <c r="E45" t="str">
        <f>PROPER(TRIM(Sales_Data!E146))</f>
        <v>Office Chair</v>
      </c>
      <c r="F45" t="str">
        <f>PROPER(TRIM(Sales_Data!F146))</f>
        <v>Furniture</v>
      </c>
      <c r="G45">
        <f>IF(Sales_Data!G146=" ",0,Sales_Data!G146)</f>
        <v>8</v>
      </c>
      <c r="H45" s="6">
        <f>Sales_Data!H146</f>
        <v>6500</v>
      </c>
      <c r="I45">
        <f>Table2[[#This Row],[Units]]*Table2[[#This Row],[Unit Price]]</f>
        <v>52000</v>
      </c>
      <c r="J45" t="str">
        <f>_xlfn.XLOOKUP(Table2[[#This Row],[Region Clean]],Table4[Region],Table4[Manager])</f>
        <v>Kavita Bose</v>
      </c>
    </row>
    <row r="46" spans="1:10" x14ac:dyDescent="0.35">
      <c r="A46" s="8">
        <v>1127</v>
      </c>
      <c r="B46" s="12">
        <v>45779</v>
      </c>
      <c r="C46" t="str">
        <f>PROPER(TRIM(Sales_Data!C87))</f>
        <v>North</v>
      </c>
      <c r="D46" t="str">
        <f>PROPER(TRIM(Sales_Data!D87))</f>
        <v>Ravi Kumar</v>
      </c>
      <c r="E46" t="str">
        <f>PROPER(TRIM(Sales_Data!E87))</f>
        <v>Bookshelf</v>
      </c>
      <c r="F46" t="str">
        <f>PROPER(TRIM(Sales_Data!F87))</f>
        <v>Furniture</v>
      </c>
      <c r="G46">
        <f>IF(Sales_Data!G87=" ",0,Sales_Data!G87)</f>
        <v>12</v>
      </c>
      <c r="H46" s="6">
        <f>Sales_Data!H87</f>
        <v>4200</v>
      </c>
      <c r="I46">
        <f>Table2[[#This Row],[Units]]*Table2[[#This Row],[Unit Price]]</f>
        <v>50400</v>
      </c>
      <c r="J46" t="str">
        <f>_xlfn.XLOOKUP(Table2[[#This Row],[Region Clean]],Table4[Region],Table4[Manager])</f>
        <v>Meera Nair</v>
      </c>
    </row>
    <row r="47" spans="1:10" x14ac:dyDescent="0.35">
      <c r="A47" s="8">
        <v>1098</v>
      </c>
      <c r="B47" s="12">
        <v>45830</v>
      </c>
      <c r="C47" t="str">
        <f>PROPER(TRIM(Sales_Data!C102))</f>
        <v>East</v>
      </c>
      <c r="D47" t="str">
        <f>PROPER(TRIM(Sales_Data!D102))</f>
        <v>Sneha Das</v>
      </c>
      <c r="E47" t="str">
        <f>PROPER(TRIM(Sales_Data!E102))</f>
        <v>Standing Desk</v>
      </c>
      <c r="F47" t="str">
        <f>PROPER(TRIM(Sales_Data!F102))</f>
        <v>Furniture</v>
      </c>
      <c r="G47">
        <f>IF(Sales_Data!G102=" ",0,Sales_Data!G102)</f>
        <v>3</v>
      </c>
      <c r="H47" s="6">
        <f>Sales_Data!H102</f>
        <v>15500</v>
      </c>
      <c r="I47">
        <f>Table2[[#This Row],[Units]]*Table2[[#This Row],[Unit Price]]</f>
        <v>46500</v>
      </c>
      <c r="J47" t="str">
        <f>_xlfn.XLOOKUP(Table2[[#This Row],[Region Clean]],Table4[Region],Table4[Manager])</f>
        <v>Kavita Bose</v>
      </c>
    </row>
    <row r="48" spans="1:10" x14ac:dyDescent="0.35">
      <c r="A48" s="8">
        <v>1126</v>
      </c>
      <c r="B48" s="12">
        <v>45709</v>
      </c>
      <c r="C48" t="str">
        <f>PROPER(TRIM(Sales_Data!C33))</f>
        <v>North</v>
      </c>
      <c r="D48" t="str">
        <f>PROPER(TRIM(Sales_Data!D33))</f>
        <v>Ravi Kumar</v>
      </c>
      <c r="E48" t="str">
        <f>PROPER(TRIM(Sales_Data!E33))</f>
        <v>Standing Desk</v>
      </c>
      <c r="F48" t="str">
        <f>PROPER(TRIM(Sales_Data!F33))</f>
        <v>Furniture</v>
      </c>
      <c r="G48">
        <f>IF(Sales_Data!G33=" ",0,Sales_Data!G33)</f>
        <v>3</v>
      </c>
      <c r="H48" s="6">
        <f>Sales_Data!H33</f>
        <v>15500</v>
      </c>
      <c r="I48">
        <f>Table2[[#This Row],[Units]]*Table2[[#This Row],[Unit Price]]</f>
        <v>46500</v>
      </c>
      <c r="J48" t="str">
        <f>_xlfn.XLOOKUP(Table2[[#This Row],[Region Clean]],Table4[Region],Table4[Manager])</f>
        <v>Meera Nair</v>
      </c>
    </row>
    <row r="49" spans="1:10" x14ac:dyDescent="0.35">
      <c r="A49" s="8">
        <v>1163</v>
      </c>
      <c r="B49" s="12">
        <v>45827</v>
      </c>
      <c r="C49" t="str">
        <f>PROPER(TRIM(Sales_Data!C107))</f>
        <v>North</v>
      </c>
      <c r="D49" t="str">
        <f>PROPER(TRIM(Sales_Data!D107))</f>
        <v>Ravi Kumar</v>
      </c>
      <c r="E49" t="str">
        <f>PROPER(TRIM(Sales_Data!E107))</f>
        <v>Standing Desk</v>
      </c>
      <c r="F49" t="str">
        <f>PROPER(TRIM(Sales_Data!F107))</f>
        <v>Furniture</v>
      </c>
      <c r="G49">
        <f>IF(Sales_Data!G107=" ",0,Sales_Data!G107)</f>
        <v>3</v>
      </c>
      <c r="H49" s="6">
        <f>Sales_Data!H107</f>
        <v>15500</v>
      </c>
      <c r="I49">
        <f>Table2[[#This Row],[Units]]*Table2[[#This Row],[Unit Price]]</f>
        <v>46500</v>
      </c>
      <c r="J49" t="str">
        <f>_xlfn.XLOOKUP(Table2[[#This Row],[Region Clean]],Table4[Region],Table4[Manager])</f>
        <v>Meera Nair</v>
      </c>
    </row>
    <row r="50" spans="1:10" x14ac:dyDescent="0.35">
      <c r="A50" s="8">
        <v>1143</v>
      </c>
      <c r="B50" s="12">
        <v>45762</v>
      </c>
      <c r="C50" t="str">
        <f>PROPER(TRIM(Sales_Data!C64))</f>
        <v>West</v>
      </c>
      <c r="D50" t="str">
        <f>PROPER(TRIM(Sales_Data!D64))</f>
        <v>Priya Mehta</v>
      </c>
      <c r="E50" t="str">
        <f>PROPER(TRIM(Sales_Data!E64))</f>
        <v>Bookshelf</v>
      </c>
      <c r="F50" t="str">
        <f>PROPER(TRIM(Sales_Data!F64))</f>
        <v>Furniture</v>
      </c>
      <c r="G50">
        <f>IF(Sales_Data!G64=" ",0,Sales_Data!G64)</f>
        <v>11</v>
      </c>
      <c r="H50" s="6">
        <f>Sales_Data!H64</f>
        <v>4200</v>
      </c>
      <c r="I50">
        <f>Table2[[#This Row],[Units]]*Table2[[#This Row],[Unit Price]]</f>
        <v>46200</v>
      </c>
      <c r="J50" t="str">
        <f>_xlfn.XLOOKUP(Table2[[#This Row],[Region Clean]],Table4[Region],Table4[Manager])</f>
        <v>Nikhil Verma</v>
      </c>
    </row>
    <row r="51" spans="1:10" x14ac:dyDescent="0.35">
      <c r="A51" s="8">
        <v>1013</v>
      </c>
      <c r="B51" s="12">
        <v>45683</v>
      </c>
      <c r="C51" t="str">
        <f>PROPER(TRIM(Sales_Data!C77))</f>
        <v>West</v>
      </c>
      <c r="D51" t="str">
        <f>PROPER(TRIM(Sales_Data!D77))</f>
        <v>Rohan Shah</v>
      </c>
      <c r="E51" t="str">
        <f>PROPER(TRIM(Sales_Data!E77))</f>
        <v>Bookshelf</v>
      </c>
      <c r="F51" t="str">
        <f>PROPER(TRIM(Sales_Data!F77))</f>
        <v>Furniture</v>
      </c>
      <c r="G51">
        <f>IF(Sales_Data!G77=" ",0,Sales_Data!G77)</f>
        <v>11</v>
      </c>
      <c r="H51" s="6">
        <f>Sales_Data!H77</f>
        <v>4200</v>
      </c>
      <c r="I51">
        <f>Table2[[#This Row],[Units]]*Table2[[#This Row],[Unit Price]]</f>
        <v>46200</v>
      </c>
      <c r="J51" t="str">
        <f>_xlfn.XLOOKUP(Table2[[#This Row],[Region Clean]],Table4[Region],Table4[Manager])</f>
        <v>Nikhil Verma</v>
      </c>
    </row>
    <row r="52" spans="1:10" x14ac:dyDescent="0.35">
      <c r="A52" s="8">
        <v>1104</v>
      </c>
      <c r="B52" s="12">
        <v>45689</v>
      </c>
      <c r="C52" t="str">
        <f>PROPER(TRIM(Sales_Data!C181))</f>
        <v>West</v>
      </c>
      <c r="D52" t="str">
        <f>PROPER(TRIM(Sales_Data!D181))</f>
        <v>Priya Mehta</v>
      </c>
      <c r="E52" t="str">
        <f>PROPER(TRIM(Sales_Data!E181))</f>
        <v>Bookshelf</v>
      </c>
      <c r="F52" t="str">
        <f>PROPER(TRIM(Sales_Data!F181))</f>
        <v>Furniture</v>
      </c>
      <c r="G52">
        <f>IF(Sales_Data!G181=" ",0,Sales_Data!G181)</f>
        <v>11</v>
      </c>
      <c r="H52" s="6">
        <f>Sales_Data!H181</f>
        <v>4200</v>
      </c>
      <c r="I52">
        <f>Table2[[#This Row],[Units]]*Table2[[#This Row],[Unit Price]]</f>
        <v>46200</v>
      </c>
      <c r="J52" t="str">
        <f>_xlfn.XLOOKUP(Table2[[#This Row],[Region Clean]],Table4[Region],Table4[Manager])</f>
        <v>Nikhil Verma</v>
      </c>
    </row>
    <row r="53" spans="1:10" x14ac:dyDescent="0.35">
      <c r="A53" s="8">
        <v>1135</v>
      </c>
      <c r="B53" s="12">
        <v>45768</v>
      </c>
      <c r="C53" t="str">
        <f>PROPER(TRIM(Sales_Data!C110))</f>
        <v>East</v>
      </c>
      <c r="D53" t="str">
        <f>PROPER(TRIM(Sales_Data!D110))</f>
        <v>Amit Ghosh</v>
      </c>
      <c r="E53" t="str">
        <f>PROPER(TRIM(Sales_Data!E110))</f>
        <v>Office Chair</v>
      </c>
      <c r="F53" t="str">
        <f>PROPER(TRIM(Sales_Data!F110))</f>
        <v>Furniture</v>
      </c>
      <c r="G53">
        <f>IF(Sales_Data!G110=" ",0,Sales_Data!G110)</f>
        <v>7</v>
      </c>
      <c r="H53" s="6">
        <f>Sales_Data!H110</f>
        <v>6500</v>
      </c>
      <c r="I53">
        <f>Table2[[#This Row],[Units]]*Table2[[#This Row],[Unit Price]]</f>
        <v>45500</v>
      </c>
      <c r="J53" t="str">
        <f>_xlfn.XLOOKUP(Table2[[#This Row],[Region Clean]],Table4[Region],Table4[Manager])</f>
        <v>Kavita Bose</v>
      </c>
    </row>
    <row r="54" spans="1:10" x14ac:dyDescent="0.35">
      <c r="A54" s="8">
        <v>1099</v>
      </c>
      <c r="B54" s="12">
        <v>45664</v>
      </c>
      <c r="C54" t="str">
        <f>PROPER(TRIM(Sales_Data!C133))</f>
        <v>North</v>
      </c>
      <c r="D54" t="str">
        <f>PROPER(TRIM(Sales_Data!D133))</f>
        <v>Ravi Kumar</v>
      </c>
      <c r="E54" t="str">
        <f>PROPER(TRIM(Sales_Data!E133))</f>
        <v>Bookshelf</v>
      </c>
      <c r="F54" t="str">
        <f>PROPER(TRIM(Sales_Data!F133))</f>
        <v>Furniture</v>
      </c>
      <c r="G54">
        <f>IF(Sales_Data!G133=" ",0,Sales_Data!G133)</f>
        <v>10</v>
      </c>
      <c r="H54" s="6">
        <f>Sales_Data!H133</f>
        <v>4200</v>
      </c>
      <c r="I54">
        <f>Table2[[#This Row],[Units]]*Table2[[#This Row],[Unit Price]]</f>
        <v>42000</v>
      </c>
      <c r="J54" t="str">
        <f>_xlfn.XLOOKUP(Table2[[#This Row],[Region Clean]],Table4[Region],Table4[Manager])</f>
        <v>Meera Nair</v>
      </c>
    </row>
    <row r="55" spans="1:10" x14ac:dyDescent="0.35">
      <c r="A55" s="8">
        <v>1138</v>
      </c>
      <c r="B55" s="12">
        <v>45729</v>
      </c>
      <c r="C55" t="str">
        <f>PROPER(TRIM(Sales_Data!C57))</f>
        <v>West</v>
      </c>
      <c r="D55" t="str">
        <f>PROPER(TRIM(Sales_Data!D57))</f>
        <v>Priya Mehta</v>
      </c>
      <c r="E55" t="str">
        <f>PROPER(TRIM(Sales_Data!E57))</f>
        <v>Bookshelf</v>
      </c>
      <c r="F55" t="str">
        <f>PROPER(TRIM(Sales_Data!F57))</f>
        <v>Furniture</v>
      </c>
      <c r="G55">
        <f>IF(Sales_Data!G57=" ",0,Sales_Data!G57)</f>
        <v>10</v>
      </c>
      <c r="H55" s="6">
        <f>Sales_Data!H57</f>
        <v>4200</v>
      </c>
      <c r="I55">
        <f>Table2[[#This Row],[Units]]*Table2[[#This Row],[Unit Price]]</f>
        <v>42000</v>
      </c>
      <c r="J55" t="str">
        <f>_xlfn.XLOOKUP(Table2[[#This Row],[Region Clean]],Table4[Region],Table4[Manager])</f>
        <v>Nikhil Verma</v>
      </c>
    </row>
    <row r="56" spans="1:10" x14ac:dyDescent="0.35">
      <c r="A56" s="8">
        <v>1005</v>
      </c>
      <c r="B56" s="12">
        <v>45824</v>
      </c>
      <c r="C56" t="str">
        <f>PROPER(TRIM(Sales_Data!C82))</f>
        <v>West</v>
      </c>
      <c r="D56" t="str">
        <f>PROPER(TRIM(Sales_Data!D82))</f>
        <v>Priya Mehta</v>
      </c>
      <c r="E56" t="str">
        <f>PROPER(TRIM(Sales_Data!E82))</f>
        <v>Bookshelf</v>
      </c>
      <c r="F56" t="str">
        <f>PROPER(TRIM(Sales_Data!F82))</f>
        <v>Furniture</v>
      </c>
      <c r="G56">
        <f>IF(Sales_Data!G82=" ",0,Sales_Data!G82)</f>
        <v>10</v>
      </c>
      <c r="H56" s="6">
        <f>Sales_Data!H82</f>
        <v>4200</v>
      </c>
      <c r="I56">
        <f>Table2[[#This Row],[Units]]*Table2[[#This Row],[Unit Price]]</f>
        <v>42000</v>
      </c>
      <c r="J56" t="str">
        <f>_xlfn.XLOOKUP(Table2[[#This Row],[Region Clean]],Table4[Region],Table4[Manager])</f>
        <v>Nikhil Verma</v>
      </c>
    </row>
    <row r="57" spans="1:10" x14ac:dyDescent="0.35">
      <c r="A57" s="8">
        <v>1009</v>
      </c>
      <c r="B57" s="12">
        <v>45812</v>
      </c>
      <c r="C57" t="str">
        <f>PROPER(TRIM(Sales_Data!C6))</f>
        <v>East</v>
      </c>
      <c r="D57" t="str">
        <f>PROPER(TRIM(Sales_Data!D6))</f>
        <v>Sneha Das</v>
      </c>
      <c r="E57" t="str">
        <f>PROPER(TRIM(Sales_Data!E6))</f>
        <v>Bookshelf</v>
      </c>
      <c r="F57" t="str">
        <f>PROPER(TRIM(Sales_Data!F6))</f>
        <v>Furniture</v>
      </c>
      <c r="G57">
        <f>IF(Sales_Data!G6=" ",0,Sales_Data!G6)</f>
        <v>9</v>
      </c>
      <c r="H57" s="6">
        <f>Sales_Data!H6</f>
        <v>4200</v>
      </c>
      <c r="I57">
        <f>Table2[[#This Row],[Units]]*Table2[[#This Row],[Unit Price]]</f>
        <v>37800</v>
      </c>
      <c r="J57" t="str">
        <f>_xlfn.XLOOKUP(Table2[[#This Row],[Region Clean]],Table4[Region],Table4[Manager])</f>
        <v>Kavita Bose</v>
      </c>
    </row>
    <row r="58" spans="1:10" x14ac:dyDescent="0.35">
      <c r="A58" s="8">
        <v>1071</v>
      </c>
      <c r="B58" s="12">
        <v>45691</v>
      </c>
      <c r="C58" t="str">
        <f>PROPER(TRIM(Sales_Data!C129))</f>
        <v>East</v>
      </c>
      <c r="D58" t="str">
        <f>PROPER(TRIM(Sales_Data!D129))</f>
        <v>Sneha Das</v>
      </c>
      <c r="E58" t="str">
        <f>PROPER(TRIM(Sales_Data!E129))</f>
        <v>Bookshelf</v>
      </c>
      <c r="F58" t="str">
        <f>PROPER(TRIM(Sales_Data!F129))</f>
        <v>Furniture</v>
      </c>
      <c r="G58">
        <f>IF(Sales_Data!G129=" ",0,Sales_Data!G129)</f>
        <v>9</v>
      </c>
      <c r="H58" s="6">
        <f>Sales_Data!H129</f>
        <v>4200</v>
      </c>
      <c r="I58">
        <f>Table2[[#This Row],[Units]]*Table2[[#This Row],[Unit Price]]</f>
        <v>37800</v>
      </c>
      <c r="J58" t="str">
        <f>_xlfn.XLOOKUP(Table2[[#This Row],[Region Clean]],Table4[Region],Table4[Manager])</f>
        <v>Kavita Bose</v>
      </c>
    </row>
    <row r="59" spans="1:10" x14ac:dyDescent="0.35">
      <c r="A59" s="8">
        <v>1033</v>
      </c>
      <c r="B59" s="12">
        <v>45794</v>
      </c>
      <c r="C59" t="str">
        <f>PROPER(TRIM(Sales_Data!C13))</f>
        <v>South</v>
      </c>
      <c r="D59" t="str">
        <f>PROPER(TRIM(Sales_Data!D13))</f>
        <v>Divya Sharma</v>
      </c>
      <c r="E59" t="str">
        <f>PROPER(TRIM(Sales_Data!E13))</f>
        <v>Bookshelf</v>
      </c>
      <c r="F59" t="str">
        <f>PROPER(TRIM(Sales_Data!F13))</f>
        <v>Furniture</v>
      </c>
      <c r="G59">
        <f>IF(Sales_Data!G13=" ",0,Sales_Data!G13)</f>
        <v>9</v>
      </c>
      <c r="H59" s="6">
        <f>Sales_Data!H13</f>
        <v>4200</v>
      </c>
      <c r="I59">
        <f>Table2[[#This Row],[Units]]*Table2[[#This Row],[Unit Price]]</f>
        <v>37800</v>
      </c>
      <c r="J59" t="str">
        <f>_xlfn.XLOOKUP(Table2[[#This Row],[Region Clean]],Table4[Region],Table4[Manager])</f>
        <v>Arjun Reddy</v>
      </c>
    </row>
    <row r="60" spans="1:10" x14ac:dyDescent="0.35">
      <c r="A60" s="8">
        <v>1167</v>
      </c>
      <c r="B60" s="12">
        <v>45717</v>
      </c>
      <c r="C60" t="str">
        <f>PROPER(TRIM(Sales_Data!C66))</f>
        <v>East</v>
      </c>
      <c r="D60" t="str">
        <f>PROPER(TRIM(Sales_Data!D66))</f>
        <v>Sneha Das</v>
      </c>
      <c r="E60" t="str">
        <f>PROPER(TRIM(Sales_Data!E66))</f>
        <v>27In Monitor</v>
      </c>
      <c r="F60" t="str">
        <f>PROPER(TRIM(Sales_Data!F66))</f>
        <v>Electronics</v>
      </c>
      <c r="G60">
        <f>IF(Sales_Data!G66=" ",0,Sales_Data!G66)</f>
        <v>2</v>
      </c>
      <c r="H60" s="6">
        <f>Sales_Data!H66</f>
        <v>18500</v>
      </c>
      <c r="I60">
        <f>Table2[[#This Row],[Units]]*Table2[[#This Row],[Unit Price]]</f>
        <v>37000</v>
      </c>
      <c r="J60" t="str">
        <f>_xlfn.XLOOKUP(Table2[[#This Row],[Region Clean]],Table4[Region],Table4[Manager])</f>
        <v>Kavita Bose</v>
      </c>
    </row>
    <row r="61" spans="1:10" x14ac:dyDescent="0.35">
      <c r="A61" s="8">
        <v>1089</v>
      </c>
      <c r="B61" s="12">
        <v>45795</v>
      </c>
      <c r="C61" t="str">
        <f>PROPER(TRIM(Sales_Data!C60))</f>
        <v>South</v>
      </c>
      <c r="D61" t="str">
        <f>PROPER(TRIM(Sales_Data!D60))</f>
        <v>Karthik Iyer</v>
      </c>
      <c r="E61" t="str">
        <f>PROPER(TRIM(Sales_Data!E60))</f>
        <v>27In Monitor</v>
      </c>
      <c r="F61" t="str">
        <f>PROPER(TRIM(Sales_Data!F60))</f>
        <v>Electronics</v>
      </c>
      <c r="G61">
        <f>IF(Sales_Data!G60=" ",0,Sales_Data!G60)</f>
        <v>2</v>
      </c>
      <c r="H61" s="6">
        <f>Sales_Data!H60</f>
        <v>18500</v>
      </c>
      <c r="I61">
        <f>Table2[[#This Row],[Units]]*Table2[[#This Row],[Unit Price]]</f>
        <v>37000</v>
      </c>
      <c r="J61" t="str">
        <f>_xlfn.XLOOKUP(Table2[[#This Row],[Region Clean]],Table4[Region],Table4[Manager])</f>
        <v>Arjun Reddy</v>
      </c>
    </row>
    <row r="62" spans="1:10" x14ac:dyDescent="0.35">
      <c r="A62" s="8">
        <v>1105</v>
      </c>
      <c r="B62" s="12">
        <v>45793</v>
      </c>
      <c r="C62" t="str">
        <f>PROPER(TRIM(Sales_Data!C150))</f>
        <v>East</v>
      </c>
      <c r="D62" t="str">
        <f>PROPER(TRIM(Sales_Data!D150))</f>
        <v>Amit Ghosh</v>
      </c>
      <c r="E62" t="str">
        <f>PROPER(TRIM(Sales_Data!E150))</f>
        <v>Bluetooth Speaker</v>
      </c>
      <c r="F62" t="str">
        <f>PROPER(TRIM(Sales_Data!F150))</f>
        <v>Electronics</v>
      </c>
      <c r="G62">
        <f>IF(Sales_Data!G150=" ",0,Sales_Data!G150)</f>
        <v>12</v>
      </c>
      <c r="H62" s="6">
        <f>Sales_Data!H150</f>
        <v>2999</v>
      </c>
      <c r="I62">
        <f>Table2[[#This Row],[Units]]*Table2[[#This Row],[Unit Price]]</f>
        <v>35988</v>
      </c>
      <c r="J62" t="str">
        <f>_xlfn.XLOOKUP(Table2[[#This Row],[Region Clean]],Table4[Region],Table4[Manager])</f>
        <v>Kavita Bose</v>
      </c>
    </row>
    <row r="63" spans="1:10" x14ac:dyDescent="0.35">
      <c r="A63" s="8">
        <v>1141</v>
      </c>
      <c r="B63" s="12">
        <v>45724</v>
      </c>
      <c r="C63" t="str">
        <f>PROPER(TRIM(Sales_Data!C163))</f>
        <v>East</v>
      </c>
      <c r="D63" t="str">
        <f>PROPER(TRIM(Sales_Data!D163))</f>
        <v>Amit Ghosh</v>
      </c>
      <c r="E63" t="str">
        <f>PROPER(TRIM(Sales_Data!E163))</f>
        <v>Bluetooth Speaker</v>
      </c>
      <c r="F63" t="str">
        <f>PROPER(TRIM(Sales_Data!F163))</f>
        <v>Electronics</v>
      </c>
      <c r="G63">
        <f>IF(Sales_Data!G163=" ",0,Sales_Data!G163)</f>
        <v>12</v>
      </c>
      <c r="H63" s="6">
        <f>Sales_Data!H163</f>
        <v>2999</v>
      </c>
      <c r="I63">
        <f>Table2[[#This Row],[Units]]*Table2[[#This Row],[Unit Price]]</f>
        <v>35988</v>
      </c>
      <c r="J63" t="str">
        <f>_xlfn.XLOOKUP(Table2[[#This Row],[Region Clean]],Table4[Region],Table4[Manager])</f>
        <v>Kavita Bose</v>
      </c>
    </row>
    <row r="64" spans="1:10" x14ac:dyDescent="0.35">
      <c r="A64" s="8">
        <v>1053</v>
      </c>
      <c r="B64" s="12">
        <v>45733</v>
      </c>
      <c r="C64" t="str">
        <f>PROPER(TRIM(Sales_Data!C165))</f>
        <v>South</v>
      </c>
      <c r="D64" t="str">
        <f>PROPER(TRIM(Sales_Data!D165))</f>
        <v>Divya Sharma</v>
      </c>
      <c r="E64" t="str">
        <f>PROPER(TRIM(Sales_Data!E165))</f>
        <v>Bluetooth Speaker</v>
      </c>
      <c r="F64" t="str">
        <f>PROPER(TRIM(Sales_Data!F165))</f>
        <v>Electronics</v>
      </c>
      <c r="G64">
        <f>IF(Sales_Data!G165=" ",0,Sales_Data!G165)</f>
        <v>12</v>
      </c>
      <c r="H64" s="6">
        <f>Sales_Data!H165</f>
        <v>2999</v>
      </c>
      <c r="I64">
        <f>Table2[[#This Row],[Units]]*Table2[[#This Row],[Unit Price]]</f>
        <v>35988</v>
      </c>
      <c r="J64" t="str">
        <f>_xlfn.XLOOKUP(Table2[[#This Row],[Region Clean]],Table4[Region],Table4[Manager])</f>
        <v>Arjun Reddy</v>
      </c>
    </row>
    <row r="65" spans="1:10" x14ac:dyDescent="0.35">
      <c r="A65" s="8">
        <v>1113</v>
      </c>
      <c r="B65" s="12">
        <v>45710</v>
      </c>
      <c r="C65" t="str">
        <f>PROPER(TRIM(Sales_Data!C160))</f>
        <v>West</v>
      </c>
      <c r="D65" t="str">
        <f>PROPER(TRIM(Sales_Data!D160))</f>
        <v>Rohan Shah</v>
      </c>
      <c r="E65" t="str">
        <f>PROPER(TRIM(Sales_Data!E160))</f>
        <v>Bluetooth Speaker</v>
      </c>
      <c r="F65" t="str">
        <f>PROPER(TRIM(Sales_Data!F160))</f>
        <v>Electronics</v>
      </c>
      <c r="G65">
        <f>IF(Sales_Data!G160=" ",0,Sales_Data!G160)</f>
        <v>12</v>
      </c>
      <c r="H65" s="6">
        <f>Sales_Data!H160</f>
        <v>2999</v>
      </c>
      <c r="I65">
        <f>Table2[[#This Row],[Units]]*Table2[[#This Row],[Unit Price]]</f>
        <v>35988</v>
      </c>
      <c r="J65" t="str">
        <f>_xlfn.XLOOKUP(Table2[[#This Row],[Region Clean]],Table4[Region],Table4[Manager])</f>
        <v>Nikhil Verma</v>
      </c>
    </row>
    <row r="66" spans="1:10" x14ac:dyDescent="0.35">
      <c r="A66" s="8">
        <v>1155</v>
      </c>
      <c r="B66" s="12">
        <v>45661</v>
      </c>
      <c r="C66" t="str">
        <f>PROPER(TRIM(Sales_Data!C106))</f>
        <v>East</v>
      </c>
      <c r="D66" t="str">
        <f>PROPER(TRIM(Sales_Data!D106))</f>
        <v>Amit Ghosh</v>
      </c>
      <c r="E66" t="str">
        <f>PROPER(TRIM(Sales_Data!E106))</f>
        <v>Bookshelf</v>
      </c>
      <c r="F66" t="str">
        <f>PROPER(TRIM(Sales_Data!F106))</f>
        <v>Furniture</v>
      </c>
      <c r="G66">
        <f>IF(Sales_Data!G106=" ",0,Sales_Data!G106)</f>
        <v>8</v>
      </c>
      <c r="H66" s="6">
        <f>Sales_Data!H106</f>
        <v>4200</v>
      </c>
      <c r="I66">
        <f>Table2[[#This Row],[Units]]*Table2[[#This Row],[Unit Price]]</f>
        <v>33600</v>
      </c>
      <c r="J66" t="str">
        <f>_xlfn.XLOOKUP(Table2[[#This Row],[Region Clean]],Table4[Region],Table4[Manager])</f>
        <v>Kavita Bose</v>
      </c>
    </row>
    <row r="67" spans="1:10" x14ac:dyDescent="0.35">
      <c r="A67" s="8">
        <v>1160</v>
      </c>
      <c r="B67" s="12">
        <v>45764</v>
      </c>
      <c r="C67" t="str">
        <f>PROPER(TRIM(Sales_Data!C170))</f>
        <v>South</v>
      </c>
      <c r="D67" t="str">
        <f>PROPER(TRIM(Sales_Data!D170))</f>
        <v>Karthik Iyer</v>
      </c>
      <c r="E67" t="str">
        <f>PROPER(TRIM(Sales_Data!E170))</f>
        <v>Bookshelf</v>
      </c>
      <c r="F67" t="str">
        <f>PROPER(TRIM(Sales_Data!F170))</f>
        <v>Furniture</v>
      </c>
      <c r="G67">
        <f>IF(Sales_Data!G170=" ",0,Sales_Data!G170)</f>
        <v>8</v>
      </c>
      <c r="H67" s="6">
        <f>Sales_Data!H170</f>
        <v>4200</v>
      </c>
      <c r="I67">
        <f>Table2[[#This Row],[Units]]*Table2[[#This Row],[Unit Price]]</f>
        <v>33600</v>
      </c>
      <c r="J67" t="str">
        <f>_xlfn.XLOOKUP(Table2[[#This Row],[Region Clean]],Table4[Region],Table4[Manager])</f>
        <v>Arjun Reddy</v>
      </c>
    </row>
    <row r="68" spans="1:10" x14ac:dyDescent="0.35">
      <c r="A68" s="8">
        <v>1095</v>
      </c>
      <c r="B68" s="12">
        <v>45711</v>
      </c>
      <c r="C68" t="str">
        <f>PROPER(TRIM(Sales_Data!C70))</f>
        <v>West</v>
      </c>
      <c r="D68" t="str">
        <f>PROPER(TRIM(Sales_Data!D70))</f>
        <v>Rohan Shah</v>
      </c>
      <c r="E68" t="str">
        <f>PROPER(TRIM(Sales_Data!E70))</f>
        <v>Bookshelf</v>
      </c>
      <c r="F68" t="str">
        <f>PROPER(TRIM(Sales_Data!F70))</f>
        <v>Furniture</v>
      </c>
      <c r="G68">
        <f>IF(Sales_Data!G70=" ",0,Sales_Data!G70)</f>
        <v>8</v>
      </c>
      <c r="H68" s="6">
        <f>Sales_Data!H70</f>
        <v>4200</v>
      </c>
      <c r="I68">
        <f>Table2[[#This Row],[Units]]*Table2[[#This Row],[Unit Price]]</f>
        <v>33600</v>
      </c>
      <c r="J68" t="str">
        <f>_xlfn.XLOOKUP(Table2[[#This Row],[Region Clean]],Table4[Region],Table4[Manager])</f>
        <v>Nikhil Verma</v>
      </c>
    </row>
    <row r="69" spans="1:10" x14ac:dyDescent="0.35">
      <c r="A69" s="8">
        <v>1015</v>
      </c>
      <c r="B69" s="12">
        <v>45829</v>
      </c>
      <c r="C69" t="str">
        <f>PROPER(TRIM(Sales_Data!C41))</f>
        <v>East</v>
      </c>
      <c r="D69" t="str">
        <f>PROPER(TRIM(Sales_Data!D41))</f>
        <v>Sneha Das</v>
      </c>
      <c r="E69" t="str">
        <f>PROPER(TRIM(Sales_Data!E41))</f>
        <v>Bluetooth Speaker</v>
      </c>
      <c r="F69" t="str">
        <f>PROPER(TRIM(Sales_Data!F41))</f>
        <v>Electronics</v>
      </c>
      <c r="G69">
        <f>IF(Sales_Data!G41=" ",0,Sales_Data!G41)</f>
        <v>11</v>
      </c>
      <c r="H69" s="6">
        <f>Sales_Data!H41</f>
        <v>2999</v>
      </c>
      <c r="I69">
        <f>Table2[[#This Row],[Units]]*Table2[[#This Row],[Unit Price]]</f>
        <v>32989</v>
      </c>
      <c r="J69" t="str">
        <f>_xlfn.XLOOKUP(Table2[[#This Row],[Region Clean]],Table4[Region],Table4[Manager])</f>
        <v>Kavita Bose</v>
      </c>
    </row>
    <row r="70" spans="1:10" x14ac:dyDescent="0.35">
      <c r="A70" s="8">
        <v>1152</v>
      </c>
      <c r="B70" s="12">
        <v>45733</v>
      </c>
      <c r="C70" t="str">
        <f>PROPER(TRIM(Sales_Data!C151))</f>
        <v>South</v>
      </c>
      <c r="D70" t="str">
        <f>PROPER(TRIM(Sales_Data!D151))</f>
        <v>Karthik Iyer</v>
      </c>
      <c r="E70" t="str">
        <f>PROPER(TRIM(Sales_Data!E151))</f>
        <v>Office Chair</v>
      </c>
      <c r="F70" t="str">
        <f>PROPER(TRIM(Sales_Data!F151))</f>
        <v>Furniture</v>
      </c>
      <c r="G70">
        <f>IF(Sales_Data!G151=" ",0,Sales_Data!G151)</f>
        <v>5</v>
      </c>
      <c r="H70" s="6">
        <f>Sales_Data!H151</f>
        <v>6500</v>
      </c>
      <c r="I70">
        <f>Table2[[#This Row],[Units]]*Table2[[#This Row],[Unit Price]]</f>
        <v>32500</v>
      </c>
      <c r="J70" t="str">
        <f>_xlfn.XLOOKUP(Table2[[#This Row],[Region Clean]],Table4[Region],Table4[Manager])</f>
        <v>Arjun Reddy</v>
      </c>
    </row>
    <row r="71" spans="1:10" x14ac:dyDescent="0.35">
      <c r="A71" s="8">
        <v>1137</v>
      </c>
      <c r="B71" s="12">
        <v>45809</v>
      </c>
      <c r="C71" t="str">
        <f>PROPER(TRIM(Sales_Data!C48))</f>
        <v>East</v>
      </c>
      <c r="D71" t="str">
        <f>PROPER(TRIM(Sales_Data!D48))</f>
        <v>Amit Ghosh</v>
      </c>
      <c r="E71" t="str">
        <f>PROPER(TRIM(Sales_Data!E48))</f>
        <v>Standing Desk</v>
      </c>
      <c r="F71" t="str">
        <f>PROPER(TRIM(Sales_Data!F48))</f>
        <v>Furniture</v>
      </c>
      <c r="G71">
        <f>IF(Sales_Data!G48=" ",0,Sales_Data!G48)</f>
        <v>2</v>
      </c>
      <c r="H71" s="6">
        <f>Sales_Data!H48</f>
        <v>15500</v>
      </c>
      <c r="I71">
        <f>Table2[[#This Row],[Units]]*Table2[[#This Row],[Unit Price]]</f>
        <v>31000</v>
      </c>
      <c r="J71" t="str">
        <f>_xlfn.XLOOKUP(Table2[[#This Row],[Region Clean]],Table4[Region],Table4[Manager])</f>
        <v>Kavita Bose</v>
      </c>
    </row>
    <row r="72" spans="1:10" x14ac:dyDescent="0.35">
      <c r="A72" s="8">
        <v>1128</v>
      </c>
      <c r="B72" s="12">
        <v>45723</v>
      </c>
      <c r="C72" t="str">
        <f>PROPER(TRIM(Sales_Data!C169))</f>
        <v>East</v>
      </c>
      <c r="D72" t="str">
        <f>PROPER(TRIM(Sales_Data!D169))</f>
        <v>Sneha Das</v>
      </c>
      <c r="E72" t="str">
        <f>PROPER(TRIM(Sales_Data!E169))</f>
        <v>Bluetooth Speaker</v>
      </c>
      <c r="F72" t="str">
        <f>PROPER(TRIM(Sales_Data!F169))</f>
        <v>Electronics</v>
      </c>
      <c r="G72">
        <f>IF(Sales_Data!G169=" ",0,Sales_Data!G169)</f>
        <v>10</v>
      </c>
      <c r="H72" s="6">
        <f>Sales_Data!H169</f>
        <v>2999</v>
      </c>
      <c r="I72">
        <f>Table2[[#This Row],[Units]]*Table2[[#This Row],[Unit Price]]</f>
        <v>29990</v>
      </c>
      <c r="J72" t="str">
        <f>_xlfn.XLOOKUP(Table2[[#This Row],[Region Clean]],Table4[Region],Table4[Manager])</f>
        <v>Kavita Bose</v>
      </c>
    </row>
    <row r="73" spans="1:10" x14ac:dyDescent="0.35">
      <c r="A73" s="8">
        <v>1174</v>
      </c>
      <c r="B73" s="12">
        <v>45664</v>
      </c>
      <c r="C73" t="str">
        <f>PROPER(TRIM(Sales_Data!C119))</f>
        <v>North</v>
      </c>
      <c r="D73" t="str">
        <f>PROPER(TRIM(Sales_Data!D119))</f>
        <v>Ravi Kumar</v>
      </c>
      <c r="E73" t="str">
        <f>PROPER(TRIM(Sales_Data!E119))</f>
        <v>Bluetooth Speaker</v>
      </c>
      <c r="F73" t="str">
        <f>PROPER(TRIM(Sales_Data!F119))</f>
        <v>Electronics</v>
      </c>
      <c r="G73">
        <f>IF(Sales_Data!G119=" ",0,Sales_Data!G119)</f>
        <v>10</v>
      </c>
      <c r="H73" s="6">
        <f>Sales_Data!H119</f>
        <v>2999</v>
      </c>
      <c r="I73">
        <f>Table2[[#This Row],[Units]]*Table2[[#This Row],[Unit Price]]</f>
        <v>29990</v>
      </c>
      <c r="J73" t="str">
        <f>_xlfn.XLOOKUP(Table2[[#This Row],[Region Clean]],Table4[Region],Table4[Manager])</f>
        <v>Meera Nair</v>
      </c>
    </row>
    <row r="74" spans="1:10" x14ac:dyDescent="0.35">
      <c r="A74" s="8">
        <v>1119</v>
      </c>
      <c r="B74" s="12">
        <v>45817</v>
      </c>
      <c r="C74" t="str">
        <f>PROPER(TRIM(Sales_Data!C176))</f>
        <v>North</v>
      </c>
      <c r="D74" t="str">
        <f>PROPER(TRIM(Sales_Data!D176))</f>
        <v>Ananya Rao</v>
      </c>
      <c r="E74" t="str">
        <f>PROPER(TRIM(Sales_Data!E176))</f>
        <v>Bluetooth Speaker</v>
      </c>
      <c r="F74" t="str">
        <f>PROPER(TRIM(Sales_Data!F176))</f>
        <v>Electronics</v>
      </c>
      <c r="G74">
        <f>IF(Sales_Data!G176=" ",0,Sales_Data!G176)</f>
        <v>10</v>
      </c>
      <c r="H74" s="6">
        <f>Sales_Data!H176</f>
        <v>2999</v>
      </c>
      <c r="I74">
        <f>Table2[[#This Row],[Units]]*Table2[[#This Row],[Unit Price]]</f>
        <v>29990</v>
      </c>
      <c r="J74" t="str">
        <f>_xlfn.XLOOKUP(Table2[[#This Row],[Region Clean]],Table4[Region],Table4[Manager])</f>
        <v>Meera Nair</v>
      </c>
    </row>
    <row r="75" spans="1:10" x14ac:dyDescent="0.35">
      <c r="A75" s="8">
        <v>1041</v>
      </c>
      <c r="B75" s="12">
        <v>45782</v>
      </c>
      <c r="C75" t="str">
        <f>PROPER(TRIM(Sales_Data!C155))</f>
        <v>South</v>
      </c>
      <c r="D75" t="str">
        <f>PROPER(TRIM(Sales_Data!D155))</f>
        <v>Divya Sharma</v>
      </c>
      <c r="E75" t="str">
        <f>PROPER(TRIM(Sales_Data!E155))</f>
        <v>Bluetooth Speaker</v>
      </c>
      <c r="F75" t="str">
        <f>PROPER(TRIM(Sales_Data!F155))</f>
        <v>Electronics</v>
      </c>
      <c r="G75">
        <f>IF(Sales_Data!G155=" ",0,Sales_Data!G155)</f>
        <v>10</v>
      </c>
      <c r="H75" s="6">
        <f>Sales_Data!H155</f>
        <v>2999</v>
      </c>
      <c r="I75">
        <f>Table2[[#This Row],[Units]]*Table2[[#This Row],[Unit Price]]</f>
        <v>29990</v>
      </c>
      <c r="J75" t="str">
        <f>_xlfn.XLOOKUP(Table2[[#This Row],[Region Clean]],Table4[Region],Table4[Manager])</f>
        <v>Arjun Reddy</v>
      </c>
    </row>
    <row r="76" spans="1:10" x14ac:dyDescent="0.35">
      <c r="A76" s="8">
        <v>1161</v>
      </c>
      <c r="B76" s="12">
        <v>45734</v>
      </c>
      <c r="C76" t="str">
        <f>PROPER(TRIM(Sales_Data!C168))</f>
        <v>West</v>
      </c>
      <c r="D76" t="str">
        <f>PROPER(TRIM(Sales_Data!D168))</f>
        <v>Rohan Shah</v>
      </c>
      <c r="E76" t="str">
        <f>PROPER(TRIM(Sales_Data!E168))</f>
        <v>Bluetooth Speaker</v>
      </c>
      <c r="F76" t="str">
        <f>PROPER(TRIM(Sales_Data!F168))</f>
        <v>Electronics</v>
      </c>
      <c r="G76">
        <f>IF(Sales_Data!G168=" ",0,Sales_Data!G168)</f>
        <v>10</v>
      </c>
      <c r="H76" s="6">
        <f>Sales_Data!H168</f>
        <v>2999</v>
      </c>
      <c r="I76">
        <f>Table2[[#This Row],[Units]]*Table2[[#This Row],[Unit Price]]</f>
        <v>29990</v>
      </c>
      <c r="J76" t="str">
        <f>_xlfn.XLOOKUP(Table2[[#This Row],[Region Clean]],Table4[Region],Table4[Manager])</f>
        <v>Nikhil Verma</v>
      </c>
    </row>
    <row r="77" spans="1:10" x14ac:dyDescent="0.35">
      <c r="A77" s="8">
        <v>1019</v>
      </c>
      <c r="B77" s="12">
        <v>45712</v>
      </c>
      <c r="C77" t="str">
        <f>PROPER(TRIM(Sales_Data!C71))</f>
        <v>East</v>
      </c>
      <c r="D77" t="str">
        <f>PROPER(TRIM(Sales_Data!D71))</f>
        <v>Sneha Das</v>
      </c>
      <c r="E77" t="str">
        <f>PROPER(TRIM(Sales_Data!E71))</f>
        <v>Bookshelf</v>
      </c>
      <c r="F77" t="str">
        <f>PROPER(TRIM(Sales_Data!F71))</f>
        <v>Furniture</v>
      </c>
      <c r="G77">
        <f>IF(Sales_Data!G71=" ",0,Sales_Data!G71)</f>
        <v>7</v>
      </c>
      <c r="H77" s="6">
        <f>Sales_Data!H71</f>
        <v>4200</v>
      </c>
      <c r="I77">
        <f>Table2[[#This Row],[Units]]*Table2[[#This Row],[Unit Price]]</f>
        <v>29400</v>
      </c>
      <c r="J77" t="str">
        <f>_xlfn.XLOOKUP(Table2[[#This Row],[Region Clean]],Table4[Region],Table4[Manager])</f>
        <v>Kavita Bose</v>
      </c>
    </row>
    <row r="78" spans="1:10" x14ac:dyDescent="0.35">
      <c r="A78" s="8">
        <v>1136</v>
      </c>
      <c r="B78" s="12">
        <v>45703</v>
      </c>
      <c r="C78" t="str">
        <f>PROPER(TRIM(Sales_Data!C73))</f>
        <v>East</v>
      </c>
      <c r="D78" t="str">
        <f>PROPER(TRIM(Sales_Data!D73))</f>
        <v>Amit Ghosh</v>
      </c>
      <c r="E78" t="str">
        <f>PROPER(TRIM(Sales_Data!E73))</f>
        <v>Bookshelf</v>
      </c>
      <c r="F78" t="str">
        <f>PROPER(TRIM(Sales_Data!F73))</f>
        <v>Furniture</v>
      </c>
      <c r="G78">
        <f>IF(Sales_Data!G73=" ",0,Sales_Data!G73)</f>
        <v>7</v>
      </c>
      <c r="H78" s="6">
        <f>Sales_Data!H73</f>
        <v>4200</v>
      </c>
      <c r="I78">
        <f>Table2[[#This Row],[Units]]*Table2[[#This Row],[Unit Price]]</f>
        <v>29400</v>
      </c>
      <c r="J78" t="str">
        <f>_xlfn.XLOOKUP(Table2[[#This Row],[Region Clean]],Table4[Region],Table4[Manager])</f>
        <v>Kavita Bose</v>
      </c>
    </row>
    <row r="79" spans="1:10" x14ac:dyDescent="0.35">
      <c r="A79" s="8">
        <v>1016</v>
      </c>
      <c r="B79" s="12">
        <v>45701</v>
      </c>
      <c r="C79" t="str">
        <f>PROPER(TRIM(Sales_Data!C44))</f>
        <v>South</v>
      </c>
      <c r="D79" t="str">
        <f>PROPER(TRIM(Sales_Data!D44))</f>
        <v>Divya Sharma</v>
      </c>
      <c r="E79" t="str">
        <f>PROPER(TRIM(Sales_Data!E44))</f>
        <v>Bookshelf</v>
      </c>
      <c r="F79" t="str">
        <f>PROPER(TRIM(Sales_Data!F44))</f>
        <v>Furniture</v>
      </c>
      <c r="G79">
        <f>IF(Sales_Data!G44=" ",0,Sales_Data!G44)</f>
        <v>7</v>
      </c>
      <c r="H79" s="6">
        <f>Sales_Data!H44</f>
        <v>4200</v>
      </c>
      <c r="I79">
        <f>Table2[[#This Row],[Units]]*Table2[[#This Row],[Unit Price]]</f>
        <v>29400</v>
      </c>
      <c r="J79" t="str">
        <f>_xlfn.XLOOKUP(Table2[[#This Row],[Region Clean]],Table4[Region],Table4[Manager])</f>
        <v>Arjun Reddy</v>
      </c>
    </row>
    <row r="80" spans="1:10" x14ac:dyDescent="0.35">
      <c r="A80" s="8">
        <v>1073</v>
      </c>
      <c r="B80" s="12">
        <v>45696</v>
      </c>
      <c r="C80" t="str">
        <f>PROPER(TRIM(Sales_Data!C34))</f>
        <v>North</v>
      </c>
      <c r="D80" t="str">
        <f>PROPER(TRIM(Sales_Data!D34))</f>
        <v>Ananya Rao</v>
      </c>
      <c r="E80" t="str">
        <f>PROPER(TRIM(Sales_Data!E34))</f>
        <v>Bluetooth Speaker</v>
      </c>
      <c r="F80" t="str">
        <f>PROPER(TRIM(Sales_Data!F34))</f>
        <v>Electronics</v>
      </c>
      <c r="G80">
        <f>IF(Sales_Data!G34=" ",0,Sales_Data!G34)</f>
        <v>9</v>
      </c>
      <c r="H80" s="6">
        <f>Sales_Data!H34</f>
        <v>2999</v>
      </c>
      <c r="I80">
        <f>Table2[[#This Row],[Units]]*Table2[[#This Row],[Unit Price]]</f>
        <v>26991</v>
      </c>
      <c r="J80" t="str">
        <f>_xlfn.XLOOKUP(Table2[[#This Row],[Region Clean]],Table4[Region],Table4[Manager])</f>
        <v>Meera Nair</v>
      </c>
    </row>
    <row r="81" spans="1:10" x14ac:dyDescent="0.35">
      <c r="A81" s="8">
        <v>1110</v>
      </c>
      <c r="B81" s="12">
        <v>45739</v>
      </c>
      <c r="C81" t="str">
        <f>PROPER(TRIM(Sales_Data!C126))</f>
        <v>North</v>
      </c>
      <c r="D81" t="str">
        <f>PROPER(TRIM(Sales_Data!D126))</f>
        <v>Ravi Kumar</v>
      </c>
      <c r="E81" t="str">
        <f>PROPER(TRIM(Sales_Data!E126))</f>
        <v>Office Chair</v>
      </c>
      <c r="F81" t="str">
        <f>PROPER(TRIM(Sales_Data!F126))</f>
        <v>Furniture</v>
      </c>
      <c r="G81">
        <f>IF(Sales_Data!G126=" ",0,Sales_Data!G126)</f>
        <v>4</v>
      </c>
      <c r="H81" s="6">
        <f>Sales_Data!H126</f>
        <v>6500</v>
      </c>
      <c r="I81">
        <f>Table2[[#This Row],[Units]]*Table2[[#This Row],[Unit Price]]</f>
        <v>26000</v>
      </c>
      <c r="J81" t="str">
        <f>_xlfn.XLOOKUP(Table2[[#This Row],[Region Clean]],Table4[Region],Table4[Manager])</f>
        <v>Meera Nair</v>
      </c>
    </row>
    <row r="82" spans="1:10" x14ac:dyDescent="0.35">
      <c r="A82" s="8">
        <v>1052</v>
      </c>
      <c r="B82" s="12">
        <v>45731</v>
      </c>
      <c r="C82" t="str">
        <f>PROPER(TRIM(Sales_Data!C17))</f>
        <v>West</v>
      </c>
      <c r="D82" t="str">
        <f>PROPER(TRIM(Sales_Data!D17))</f>
        <v>Rohan Shah</v>
      </c>
      <c r="E82" t="str">
        <f>PROPER(TRIM(Sales_Data!E17))</f>
        <v>Office Chair</v>
      </c>
      <c r="F82" t="str">
        <f>PROPER(TRIM(Sales_Data!F17))</f>
        <v>Furniture</v>
      </c>
      <c r="G82">
        <f>IF(Sales_Data!G17=" ",0,Sales_Data!G17)</f>
        <v>4</v>
      </c>
      <c r="H82" s="6">
        <f>Sales_Data!H17</f>
        <v>6500</v>
      </c>
      <c r="I82">
        <f>Table2[[#This Row],[Units]]*Table2[[#This Row],[Unit Price]]</f>
        <v>26000</v>
      </c>
      <c r="J82" t="str">
        <f>_xlfn.XLOOKUP(Table2[[#This Row],[Region Clean]],Table4[Region],Table4[Manager])</f>
        <v>Nikhil Verma</v>
      </c>
    </row>
    <row r="83" spans="1:10" x14ac:dyDescent="0.35">
      <c r="A83" s="8">
        <v>1177</v>
      </c>
      <c r="B83" s="12">
        <v>45769</v>
      </c>
      <c r="C83" t="str">
        <f>PROPER(TRIM(Sales_Data!C94))</f>
        <v>West</v>
      </c>
      <c r="D83" t="str">
        <f>PROPER(TRIM(Sales_Data!D94))</f>
        <v>Priya Mehta</v>
      </c>
      <c r="E83" t="str">
        <f>PROPER(TRIM(Sales_Data!E94))</f>
        <v>Bookshelf</v>
      </c>
      <c r="F83" t="str">
        <f>PROPER(TRIM(Sales_Data!F94))</f>
        <v>Furniture</v>
      </c>
      <c r="G83">
        <f>IF(Sales_Data!G94=" ",0,Sales_Data!G94)</f>
        <v>6</v>
      </c>
      <c r="H83" s="6">
        <f>Sales_Data!H94</f>
        <v>4200</v>
      </c>
      <c r="I83">
        <f>Table2[[#This Row],[Units]]*Table2[[#This Row],[Unit Price]]</f>
        <v>25200</v>
      </c>
      <c r="J83" t="str">
        <f>_xlfn.XLOOKUP(Table2[[#This Row],[Region Clean]],Table4[Region],Table4[Manager])</f>
        <v>Nikhil Verma</v>
      </c>
    </row>
    <row r="84" spans="1:10" x14ac:dyDescent="0.35">
      <c r="A84" s="8">
        <v>1021</v>
      </c>
      <c r="B84" s="12">
        <v>45721</v>
      </c>
      <c r="C84" t="str">
        <f>PROPER(TRIM(Sales_Data!C53))</f>
        <v>East</v>
      </c>
      <c r="D84" t="str">
        <f>PROPER(TRIM(Sales_Data!D53))</f>
        <v>Amit Ghosh</v>
      </c>
      <c r="E84" t="str">
        <f>PROPER(TRIM(Sales_Data!E53))</f>
        <v>Bluetooth Speaker</v>
      </c>
      <c r="F84" t="str">
        <f>PROPER(TRIM(Sales_Data!F53))</f>
        <v>Electronics</v>
      </c>
      <c r="G84">
        <f>IF(Sales_Data!G53=" ",0,Sales_Data!G53)</f>
        <v>7</v>
      </c>
      <c r="H84" s="6">
        <f>Sales_Data!H53</f>
        <v>2999</v>
      </c>
      <c r="I84">
        <f>Table2[[#This Row],[Units]]*Table2[[#This Row],[Unit Price]]</f>
        <v>20993</v>
      </c>
      <c r="J84" t="str">
        <f>_xlfn.XLOOKUP(Table2[[#This Row],[Region Clean]],Table4[Region],Table4[Manager])</f>
        <v>Kavita Bose</v>
      </c>
    </row>
    <row r="85" spans="1:10" x14ac:dyDescent="0.35">
      <c r="A85" s="8">
        <v>1077</v>
      </c>
      <c r="B85" s="12">
        <v>45816</v>
      </c>
      <c r="C85" t="str">
        <f>PROPER(TRIM(Sales_Data!C5))</f>
        <v>South</v>
      </c>
      <c r="D85" t="str">
        <f>PROPER(TRIM(Sales_Data!D5))</f>
        <v>Divya Sharma</v>
      </c>
      <c r="E85" t="str">
        <f>PROPER(TRIM(Sales_Data!E5))</f>
        <v>Office Chair</v>
      </c>
      <c r="F85" t="str">
        <f>PROPER(TRIM(Sales_Data!F5))</f>
        <v>Furniture</v>
      </c>
      <c r="G85">
        <f>IF(Sales_Data!G5=" ",0,Sales_Data!G5)</f>
        <v>3</v>
      </c>
      <c r="H85" s="6">
        <f>Sales_Data!H5</f>
        <v>6500</v>
      </c>
      <c r="I85">
        <f>Table2[[#This Row],[Units]]*Table2[[#This Row],[Unit Price]]</f>
        <v>19500</v>
      </c>
      <c r="J85" t="str">
        <f>_xlfn.XLOOKUP(Table2[[#This Row],[Region Clean]],Table4[Region],Table4[Manager])</f>
        <v>Arjun Reddy</v>
      </c>
    </row>
    <row r="86" spans="1:10" x14ac:dyDescent="0.35">
      <c r="A86" s="8">
        <v>1112</v>
      </c>
      <c r="B86" s="12">
        <v>45762</v>
      </c>
      <c r="C86" t="str">
        <f>PROPER(TRIM(Sales_Data!C79))</f>
        <v>East</v>
      </c>
      <c r="D86" t="str">
        <f>PROPER(TRIM(Sales_Data!D79))</f>
        <v>Amit Ghosh</v>
      </c>
      <c r="E86" t="str">
        <f>PROPER(TRIM(Sales_Data!E79))</f>
        <v>27In Monitor</v>
      </c>
      <c r="F86" t="str">
        <f>PROPER(TRIM(Sales_Data!F79))</f>
        <v>Electronics</v>
      </c>
      <c r="G86">
        <f>IF(Sales_Data!G79=" ",0,Sales_Data!G79)</f>
        <v>1</v>
      </c>
      <c r="H86" s="6">
        <f>Sales_Data!H79</f>
        <v>18500</v>
      </c>
      <c r="I86">
        <f>Table2[[#This Row],[Units]]*Table2[[#This Row],[Unit Price]]</f>
        <v>18500</v>
      </c>
      <c r="J86" t="str">
        <f>_xlfn.XLOOKUP(Table2[[#This Row],[Region Clean]],Table4[Region],Table4[Manager])</f>
        <v>Kavita Bose</v>
      </c>
    </row>
    <row r="87" spans="1:10" x14ac:dyDescent="0.35">
      <c r="A87" s="8">
        <v>1080</v>
      </c>
      <c r="B87" s="12">
        <v>45685</v>
      </c>
      <c r="C87" t="str">
        <f>PROPER(TRIM(Sales_Data!C154))</f>
        <v>West</v>
      </c>
      <c r="D87" t="str">
        <f>PROPER(TRIM(Sales_Data!D154))</f>
        <v>Priya Mehta</v>
      </c>
      <c r="E87" t="str">
        <f>PROPER(TRIM(Sales_Data!E154))</f>
        <v>Bookshelf</v>
      </c>
      <c r="F87" t="str">
        <f>PROPER(TRIM(Sales_Data!F154))</f>
        <v>Furniture</v>
      </c>
      <c r="G87">
        <f>IF(Sales_Data!G154=" ",0,Sales_Data!G154)</f>
        <v>4</v>
      </c>
      <c r="H87" s="6">
        <f>Sales_Data!H154</f>
        <v>4200</v>
      </c>
      <c r="I87">
        <f>Table2[[#This Row],[Units]]*Table2[[#This Row],[Unit Price]]</f>
        <v>16800</v>
      </c>
      <c r="J87" t="str">
        <f>_xlfn.XLOOKUP(Table2[[#This Row],[Region Clean]],Table4[Region],Table4[Manager])</f>
        <v>Nikhil Verma</v>
      </c>
    </row>
    <row r="88" spans="1:10" x14ac:dyDescent="0.35">
      <c r="A88" s="8">
        <v>1031</v>
      </c>
      <c r="B88" s="12">
        <v>45686</v>
      </c>
      <c r="C88" t="str">
        <f>PROPER(TRIM(Sales_Data!C145))</f>
        <v>East</v>
      </c>
      <c r="D88" t="str">
        <f>PROPER(TRIM(Sales_Data!D145))</f>
        <v>Amit Ghosh</v>
      </c>
      <c r="E88" t="str">
        <f>PROPER(TRIM(Sales_Data!E145))</f>
        <v>Standing Desk</v>
      </c>
      <c r="F88" t="str">
        <f>PROPER(TRIM(Sales_Data!F145))</f>
        <v>Furniture</v>
      </c>
      <c r="G88">
        <f>IF(Sales_Data!G145=" ",0,Sales_Data!G145)</f>
        <v>1</v>
      </c>
      <c r="H88" s="6">
        <f>Sales_Data!H145</f>
        <v>15500</v>
      </c>
      <c r="I88">
        <f>Table2[[#This Row],[Units]]*Table2[[#This Row],[Unit Price]]</f>
        <v>15500</v>
      </c>
      <c r="J88" t="str">
        <f>_xlfn.XLOOKUP(Table2[[#This Row],[Region Clean]],Table4[Region],Table4[Manager])</f>
        <v>Kavita Bose</v>
      </c>
    </row>
    <row r="89" spans="1:10" x14ac:dyDescent="0.35">
      <c r="A89" s="8">
        <v>1173</v>
      </c>
      <c r="B89" s="12">
        <v>45668</v>
      </c>
      <c r="C89" t="str">
        <f>PROPER(TRIM(Sales_Data!C166))</f>
        <v>West</v>
      </c>
      <c r="D89" t="str">
        <f>PROPER(TRIM(Sales_Data!D166))</f>
        <v>Rohan Shah</v>
      </c>
      <c r="E89" t="str">
        <f>PROPER(TRIM(Sales_Data!E166))</f>
        <v>Bluetooth Speaker</v>
      </c>
      <c r="F89" t="str">
        <f>PROPER(TRIM(Sales_Data!F166))</f>
        <v>Electronics</v>
      </c>
      <c r="G89">
        <f>IF(Sales_Data!G166=" ",0,Sales_Data!G166)</f>
        <v>5</v>
      </c>
      <c r="H89" s="6">
        <f>Sales_Data!H166</f>
        <v>2999</v>
      </c>
      <c r="I89">
        <f>Table2[[#This Row],[Units]]*Table2[[#This Row],[Unit Price]]</f>
        <v>14995</v>
      </c>
      <c r="J89" t="str">
        <f>_xlfn.XLOOKUP(Table2[[#This Row],[Region Clean]],Table4[Region],Table4[Manager])</f>
        <v>Nikhil Verma</v>
      </c>
    </row>
    <row r="90" spans="1:10" x14ac:dyDescent="0.35">
      <c r="A90" s="8">
        <v>1118</v>
      </c>
      <c r="B90" s="12">
        <v>45829</v>
      </c>
      <c r="C90" t="str">
        <f>PROPER(TRIM(Sales_Data!C7))</f>
        <v>West</v>
      </c>
      <c r="D90" t="str">
        <f>PROPER(TRIM(Sales_Data!D7))</f>
        <v>Priya Mehta</v>
      </c>
      <c r="E90" t="str">
        <f>PROPER(TRIM(Sales_Data!E7))</f>
        <v>Bookshelf</v>
      </c>
      <c r="F90" t="str">
        <f>PROPER(TRIM(Sales_Data!F7))</f>
        <v>Furniture</v>
      </c>
      <c r="G90">
        <f>IF(Sales_Data!G7=" ",0,Sales_Data!G7)</f>
        <v>3</v>
      </c>
      <c r="H90" s="6">
        <f>Sales_Data!H7</f>
        <v>4200</v>
      </c>
      <c r="I90">
        <f>Table2[[#This Row],[Units]]*Table2[[#This Row],[Unit Price]]</f>
        <v>12600</v>
      </c>
      <c r="J90" t="str">
        <f>_xlfn.XLOOKUP(Table2[[#This Row],[Region Clean]],Table4[Region],Table4[Manager])</f>
        <v>Nikhil Verma</v>
      </c>
    </row>
    <row r="91" spans="1:10" x14ac:dyDescent="0.35">
      <c r="A91" s="8">
        <v>1087</v>
      </c>
      <c r="B91" s="12">
        <v>45813</v>
      </c>
      <c r="C91" t="str">
        <f>PROPER(TRIM(Sales_Data!C67))</f>
        <v>North</v>
      </c>
      <c r="D91" t="str">
        <f>PROPER(TRIM(Sales_Data!D67))</f>
        <v>Ananya Rao</v>
      </c>
      <c r="E91" t="str">
        <f>PROPER(TRIM(Sales_Data!E67))</f>
        <v>Bluetooth Speaker</v>
      </c>
      <c r="F91" t="str">
        <f>PROPER(TRIM(Sales_Data!F67))</f>
        <v>Electronics</v>
      </c>
      <c r="G91">
        <f>IF(Sales_Data!G67=" ",0,Sales_Data!G67)</f>
        <v>4</v>
      </c>
      <c r="H91" s="6">
        <f>Sales_Data!H67</f>
        <v>2999</v>
      </c>
      <c r="I91">
        <f>Table2[[#This Row],[Units]]*Table2[[#This Row],[Unit Price]]</f>
        <v>11996</v>
      </c>
      <c r="J91" t="str">
        <f>_xlfn.XLOOKUP(Table2[[#This Row],[Region Clean]],Table4[Region],Table4[Manager])</f>
        <v>Meera Nair</v>
      </c>
    </row>
    <row r="92" spans="1:10" x14ac:dyDescent="0.35">
      <c r="A92" s="8">
        <v>1100</v>
      </c>
      <c r="B92" s="12">
        <v>45676</v>
      </c>
      <c r="C92" t="str">
        <f>PROPER(TRIM(Sales_Data!C42))</f>
        <v>West</v>
      </c>
      <c r="D92" t="str">
        <f>PROPER(TRIM(Sales_Data!D42))</f>
        <v>Rohan Shah</v>
      </c>
      <c r="E92" t="str">
        <f>PROPER(TRIM(Sales_Data!E42))</f>
        <v>Bluetooth Speaker</v>
      </c>
      <c r="F92" t="str">
        <f>PROPER(TRIM(Sales_Data!F42))</f>
        <v>Electronics</v>
      </c>
      <c r="G92">
        <f>IF(Sales_Data!G42=" ",0,Sales_Data!G42)</f>
        <v>4</v>
      </c>
      <c r="H92" s="6">
        <f>Sales_Data!H42</f>
        <v>2999</v>
      </c>
      <c r="I92">
        <f>Table2[[#This Row],[Units]]*Table2[[#This Row],[Unit Price]]</f>
        <v>11996</v>
      </c>
      <c r="J92" t="str">
        <f>_xlfn.XLOOKUP(Table2[[#This Row],[Region Clean]],Table4[Region],Table4[Manager])</f>
        <v>Nikhil Verma</v>
      </c>
    </row>
    <row r="93" spans="1:10" x14ac:dyDescent="0.35">
      <c r="A93" s="8">
        <v>1090</v>
      </c>
      <c r="B93" s="12">
        <v>45828</v>
      </c>
      <c r="C93" t="str">
        <f>PROPER(TRIM(Sales_Data!C96))</f>
        <v>East</v>
      </c>
      <c r="D93" t="str">
        <f>PROPER(TRIM(Sales_Data!D96))</f>
        <v>Amit Ghosh</v>
      </c>
      <c r="E93" t="str">
        <f>PROPER(TRIM(Sales_Data!E96))</f>
        <v>Wireless Mouse</v>
      </c>
      <c r="F93" t="str">
        <f>PROPER(TRIM(Sales_Data!F96))</f>
        <v>Electronics</v>
      </c>
      <c r="G93">
        <f>IF(Sales_Data!G96=" ",0,Sales_Data!G96)</f>
        <v>12</v>
      </c>
      <c r="H93" s="6">
        <f>Sales_Data!H96</f>
        <v>799</v>
      </c>
      <c r="I93">
        <f>Table2[[#This Row],[Units]]*Table2[[#This Row],[Unit Price]]</f>
        <v>9588</v>
      </c>
      <c r="J93" t="str">
        <f>_xlfn.XLOOKUP(Table2[[#This Row],[Region Clean]],Table4[Region],Table4[Manager])</f>
        <v>Kavita Bose</v>
      </c>
    </row>
    <row r="94" spans="1:10" x14ac:dyDescent="0.35">
      <c r="A94" s="8">
        <v>1072</v>
      </c>
      <c r="B94" s="12">
        <v>45767</v>
      </c>
      <c r="C94" t="str">
        <f>PROPER(TRIM(Sales_Data!C40))</f>
        <v>North</v>
      </c>
      <c r="D94" t="str">
        <f>PROPER(TRIM(Sales_Data!D40))</f>
        <v>Ravi Kumar</v>
      </c>
      <c r="E94" t="str">
        <f>PROPER(TRIM(Sales_Data!E40))</f>
        <v>Wireless Mouse</v>
      </c>
      <c r="F94" t="str">
        <f>PROPER(TRIM(Sales_Data!F40))</f>
        <v>Electronics</v>
      </c>
      <c r="G94">
        <f>IF(Sales_Data!G40=" ",0,Sales_Data!G40)</f>
        <v>12</v>
      </c>
      <c r="H94" s="6">
        <f>Sales_Data!H40</f>
        <v>799</v>
      </c>
      <c r="I94">
        <f>Table2[[#This Row],[Units]]*Table2[[#This Row],[Unit Price]]</f>
        <v>9588</v>
      </c>
      <c r="J94" t="str">
        <f>_xlfn.XLOOKUP(Table2[[#This Row],[Region Clean]],Table4[Region],Table4[Manager])</f>
        <v>Meera Nair</v>
      </c>
    </row>
    <row r="95" spans="1:10" x14ac:dyDescent="0.35">
      <c r="A95" s="8">
        <v>1131</v>
      </c>
      <c r="B95" s="12">
        <v>45708</v>
      </c>
      <c r="C95" t="str">
        <f>PROPER(TRIM(Sales_Data!C141))</f>
        <v>North</v>
      </c>
      <c r="D95" t="str">
        <f>PROPER(TRIM(Sales_Data!D141))</f>
        <v>Ravi Kumar</v>
      </c>
      <c r="E95" t="str">
        <f>PROPER(TRIM(Sales_Data!E141))</f>
        <v>Wireless Mouse</v>
      </c>
      <c r="F95" t="str">
        <f>PROPER(TRIM(Sales_Data!F141))</f>
        <v>Electronics</v>
      </c>
      <c r="G95">
        <f>IF(Sales_Data!G141=" ",0,Sales_Data!G141)</f>
        <v>12</v>
      </c>
      <c r="H95" s="6">
        <f>Sales_Data!H141</f>
        <v>799</v>
      </c>
      <c r="I95">
        <f>Table2[[#This Row],[Units]]*Table2[[#This Row],[Unit Price]]</f>
        <v>9588</v>
      </c>
      <c r="J95" t="str">
        <f>_xlfn.XLOOKUP(Table2[[#This Row],[Region Clean]],Table4[Region],Table4[Manager])</f>
        <v>Meera Nair</v>
      </c>
    </row>
    <row r="96" spans="1:10" x14ac:dyDescent="0.35">
      <c r="A96" s="8">
        <v>1149</v>
      </c>
      <c r="B96" s="12">
        <v>45688</v>
      </c>
      <c r="C96" t="str">
        <f>PROPER(TRIM(Sales_Data!C8))</f>
        <v>South</v>
      </c>
      <c r="D96" t="str">
        <f>PROPER(TRIM(Sales_Data!D8))</f>
        <v>Karthik Iyer</v>
      </c>
      <c r="E96" t="str">
        <f>PROPER(TRIM(Sales_Data!E8))</f>
        <v>Wireless Mouse</v>
      </c>
      <c r="F96" t="str">
        <f>PROPER(TRIM(Sales_Data!F8))</f>
        <v>Electronics</v>
      </c>
      <c r="G96">
        <f>IF(Sales_Data!G8=" ",0,Sales_Data!G8)</f>
        <v>12</v>
      </c>
      <c r="H96" s="6">
        <f>Sales_Data!H8</f>
        <v>799</v>
      </c>
      <c r="I96">
        <f>Table2[[#This Row],[Units]]*Table2[[#This Row],[Unit Price]]</f>
        <v>9588</v>
      </c>
      <c r="J96" t="str">
        <f>_xlfn.XLOOKUP(Table2[[#This Row],[Region Clean]],Table4[Region],Table4[Manager])</f>
        <v>Arjun Reddy</v>
      </c>
    </row>
    <row r="97" spans="1:10" x14ac:dyDescent="0.35">
      <c r="A97" s="8">
        <v>1166</v>
      </c>
      <c r="B97" s="12">
        <v>45731</v>
      </c>
      <c r="C97" t="str">
        <f>PROPER(TRIM(Sales_Data!C19))</f>
        <v>East</v>
      </c>
      <c r="D97" t="str">
        <f>PROPER(TRIM(Sales_Data!D19))</f>
        <v>Amit Ghosh</v>
      </c>
      <c r="E97" t="str">
        <f>PROPER(TRIM(Sales_Data!E19))</f>
        <v>Wireless Mouse</v>
      </c>
      <c r="F97" t="str">
        <f>PROPER(TRIM(Sales_Data!F19))</f>
        <v>Electronics</v>
      </c>
      <c r="G97">
        <f>IF(Sales_Data!G19=" ",0,Sales_Data!G19)</f>
        <v>11</v>
      </c>
      <c r="H97" s="6">
        <f>Sales_Data!H19</f>
        <v>799</v>
      </c>
      <c r="I97">
        <f>Table2[[#This Row],[Units]]*Table2[[#This Row],[Unit Price]]</f>
        <v>8789</v>
      </c>
      <c r="J97" t="str">
        <f>_xlfn.XLOOKUP(Table2[[#This Row],[Region Clean]],Table4[Region],Table4[Manager])</f>
        <v>Kavita Bose</v>
      </c>
    </row>
    <row r="98" spans="1:10" x14ac:dyDescent="0.35">
      <c r="A98" s="8">
        <v>1069</v>
      </c>
      <c r="B98" s="12">
        <v>45783</v>
      </c>
      <c r="C98" t="str">
        <f>PROPER(TRIM(Sales_Data!C164))</f>
        <v>East</v>
      </c>
      <c r="D98" t="str">
        <f>PROPER(TRIM(Sales_Data!D164))</f>
        <v>Sneha Das</v>
      </c>
      <c r="E98" t="str">
        <f>PROPER(TRIM(Sales_Data!E164))</f>
        <v>Wireless Mouse</v>
      </c>
      <c r="F98" t="str">
        <f>PROPER(TRIM(Sales_Data!F164))</f>
        <v>Electronics</v>
      </c>
      <c r="G98">
        <f>IF(Sales_Data!G164=" ",0,Sales_Data!G164)</f>
        <v>11</v>
      </c>
      <c r="H98" s="6">
        <f>Sales_Data!H164</f>
        <v>799</v>
      </c>
      <c r="I98">
        <f>Table2[[#This Row],[Units]]*Table2[[#This Row],[Unit Price]]</f>
        <v>8789</v>
      </c>
      <c r="J98" t="str">
        <f>_xlfn.XLOOKUP(Table2[[#This Row],[Region Clean]],Table4[Region],Table4[Manager])</f>
        <v>Kavita Bose</v>
      </c>
    </row>
    <row r="99" spans="1:10" x14ac:dyDescent="0.35">
      <c r="A99" s="8">
        <v>1154</v>
      </c>
      <c r="B99" s="12">
        <v>45799</v>
      </c>
      <c r="C99" t="str">
        <f>PROPER(TRIM(Sales_Data!C89))</f>
        <v>East</v>
      </c>
      <c r="D99" t="str">
        <f>PROPER(TRIM(Sales_Data!D89))</f>
        <v>Sneha Das</v>
      </c>
      <c r="E99" t="str">
        <f>PROPER(TRIM(Sales_Data!E89))</f>
        <v>Bookshelf</v>
      </c>
      <c r="F99" t="str">
        <f>PROPER(TRIM(Sales_Data!F89))</f>
        <v>Furniture</v>
      </c>
      <c r="G99">
        <f>IF(Sales_Data!G89=" ",0,Sales_Data!G89)</f>
        <v>2</v>
      </c>
      <c r="H99" s="6">
        <f>Sales_Data!H89</f>
        <v>4200</v>
      </c>
      <c r="I99">
        <f>Table2[[#This Row],[Units]]*Table2[[#This Row],[Unit Price]]</f>
        <v>8400</v>
      </c>
      <c r="J99" t="str">
        <f>_xlfn.XLOOKUP(Table2[[#This Row],[Region Clean]],Table4[Region],Table4[Manager])</f>
        <v>Kavita Bose</v>
      </c>
    </row>
    <row r="100" spans="1:10" x14ac:dyDescent="0.35">
      <c r="A100" s="8">
        <v>1134</v>
      </c>
      <c r="B100" s="12">
        <v>45745</v>
      </c>
      <c r="C100" t="str">
        <f>PROPER(TRIM(Sales_Data!C3))</f>
        <v>North</v>
      </c>
      <c r="D100" t="str">
        <f>PROPER(TRIM(Sales_Data!D3))</f>
        <v>Ananya Rao</v>
      </c>
      <c r="E100" t="str">
        <f>PROPER(TRIM(Sales_Data!E3))</f>
        <v>Bookshelf</v>
      </c>
      <c r="F100" t="str">
        <f>PROPER(TRIM(Sales_Data!F3))</f>
        <v>Furniture</v>
      </c>
      <c r="G100">
        <f>IF(Sales_Data!G3=" ",0,Sales_Data!G3)</f>
        <v>2</v>
      </c>
      <c r="H100" s="6">
        <f>Sales_Data!H3</f>
        <v>4200</v>
      </c>
      <c r="I100">
        <f>Table2[[#This Row],[Units]]*Table2[[#This Row],[Unit Price]]</f>
        <v>8400</v>
      </c>
      <c r="J100" t="str">
        <f>_xlfn.XLOOKUP(Table2[[#This Row],[Region Clean]],Table4[Region],Table4[Manager])</f>
        <v>Meera Nair</v>
      </c>
    </row>
    <row r="101" spans="1:10" x14ac:dyDescent="0.35">
      <c r="A101" s="8">
        <v>1157</v>
      </c>
      <c r="B101" s="12">
        <v>45687</v>
      </c>
      <c r="C101" t="str">
        <f>PROPER(TRIM(Sales_Data!C49))</f>
        <v>North</v>
      </c>
      <c r="D101" t="str">
        <f>PROPER(TRIM(Sales_Data!D49))</f>
        <v>Ananya Rao</v>
      </c>
      <c r="E101" t="str">
        <f>PROPER(TRIM(Sales_Data!E49))</f>
        <v>Bookshelf</v>
      </c>
      <c r="F101" t="str">
        <f>PROPER(TRIM(Sales_Data!F49))</f>
        <v>Furniture</v>
      </c>
      <c r="G101">
        <f>IF(Sales_Data!G49=" ",0,Sales_Data!G49)</f>
        <v>2</v>
      </c>
      <c r="H101" s="6">
        <f>Sales_Data!H49</f>
        <v>4200</v>
      </c>
      <c r="I101">
        <f>Table2[[#This Row],[Units]]*Table2[[#This Row],[Unit Price]]</f>
        <v>8400</v>
      </c>
      <c r="J101" t="str">
        <f>_xlfn.XLOOKUP(Table2[[#This Row],[Region Clean]],Table4[Region],Table4[Manager])</f>
        <v>Meera Nair</v>
      </c>
    </row>
    <row r="102" spans="1:10" x14ac:dyDescent="0.35">
      <c r="A102" s="8">
        <v>1032</v>
      </c>
      <c r="B102" s="12">
        <v>45719</v>
      </c>
      <c r="C102" t="str">
        <f>PROPER(TRIM(Sales_Data!C158))</f>
        <v>North</v>
      </c>
      <c r="D102" t="str">
        <f>PROPER(TRIM(Sales_Data!D158))</f>
        <v>Ravi Kumar</v>
      </c>
      <c r="E102" t="str">
        <f>PROPER(TRIM(Sales_Data!E158))</f>
        <v>Bookshelf</v>
      </c>
      <c r="F102" t="str">
        <f>PROPER(TRIM(Sales_Data!F158))</f>
        <v>Furniture</v>
      </c>
      <c r="G102">
        <f>IF(Sales_Data!G158=" ",0,Sales_Data!G158)</f>
        <v>2</v>
      </c>
      <c r="H102" s="6">
        <f>Sales_Data!H158</f>
        <v>4200</v>
      </c>
      <c r="I102">
        <f>Table2[[#This Row],[Units]]*Table2[[#This Row],[Unit Price]]</f>
        <v>8400</v>
      </c>
      <c r="J102" t="str">
        <f>_xlfn.XLOOKUP(Table2[[#This Row],[Region Clean]],Table4[Region],Table4[Manager])</f>
        <v>Meera Nair</v>
      </c>
    </row>
    <row r="103" spans="1:10" x14ac:dyDescent="0.35">
      <c r="A103" s="8">
        <v>1129</v>
      </c>
      <c r="B103" s="12">
        <v>45687</v>
      </c>
      <c r="C103" t="str">
        <f>PROPER(TRIM(Sales_Data!C18))</f>
        <v>South</v>
      </c>
      <c r="D103" t="str">
        <f>PROPER(TRIM(Sales_Data!D18))</f>
        <v>Karthik Iyer</v>
      </c>
      <c r="E103" t="str">
        <f>PROPER(TRIM(Sales_Data!E18))</f>
        <v>Wireless Mouse</v>
      </c>
      <c r="F103" t="str">
        <f>PROPER(TRIM(Sales_Data!F18))</f>
        <v>Electronics</v>
      </c>
      <c r="G103">
        <f>IF(Sales_Data!G18=" ",0,Sales_Data!G18)</f>
        <v>10</v>
      </c>
      <c r="H103" s="6">
        <f>Sales_Data!H18</f>
        <v>799</v>
      </c>
      <c r="I103">
        <f>Table2[[#This Row],[Units]]*Table2[[#This Row],[Unit Price]]</f>
        <v>7990</v>
      </c>
      <c r="J103" t="str">
        <f>_xlfn.XLOOKUP(Table2[[#This Row],[Region Clean]],Table4[Region],Table4[Manager])</f>
        <v>Arjun Reddy</v>
      </c>
    </row>
    <row r="104" spans="1:10" x14ac:dyDescent="0.35">
      <c r="A104" s="8">
        <v>1057</v>
      </c>
      <c r="B104" s="12">
        <v>45830</v>
      </c>
      <c r="C104" t="str">
        <f>PROPER(TRIM(Sales_Data!C76))</f>
        <v>South</v>
      </c>
      <c r="D104" t="str">
        <f>PROPER(TRIM(Sales_Data!D76))</f>
        <v>Karthik Iyer</v>
      </c>
      <c r="E104" t="str">
        <f>PROPER(TRIM(Sales_Data!E76))</f>
        <v>Wireless Mouse</v>
      </c>
      <c r="F104" t="str">
        <f>PROPER(TRIM(Sales_Data!F76))</f>
        <v>Electronics</v>
      </c>
      <c r="G104">
        <f>IF(Sales_Data!G76=" ",0,Sales_Data!G76)</f>
        <v>10</v>
      </c>
      <c r="H104" s="6">
        <f>Sales_Data!H76</f>
        <v>799</v>
      </c>
      <c r="I104">
        <f>Table2[[#This Row],[Units]]*Table2[[#This Row],[Unit Price]]</f>
        <v>7990</v>
      </c>
      <c r="J104" t="str">
        <f>_xlfn.XLOOKUP(Table2[[#This Row],[Region Clean]],Table4[Region],Table4[Manager])</f>
        <v>Arjun Reddy</v>
      </c>
    </row>
    <row r="105" spans="1:10" x14ac:dyDescent="0.35">
      <c r="A105" s="8">
        <v>1172</v>
      </c>
      <c r="B105" s="12">
        <v>45796</v>
      </c>
      <c r="C105" t="str">
        <f>PROPER(TRIM(Sales_Data!C132))</f>
        <v>West</v>
      </c>
      <c r="D105" t="str">
        <f>PROPER(TRIM(Sales_Data!D132))</f>
        <v>Rohan Shah</v>
      </c>
      <c r="E105" t="str">
        <f>PROPER(TRIM(Sales_Data!E132))</f>
        <v>Wireless Mouse</v>
      </c>
      <c r="F105" t="str">
        <f>PROPER(TRIM(Sales_Data!F132))</f>
        <v>Electronics</v>
      </c>
      <c r="G105">
        <f>IF(Sales_Data!G132=" ",0,Sales_Data!G132)</f>
        <v>10</v>
      </c>
      <c r="H105" s="6">
        <f>Sales_Data!H132</f>
        <v>799</v>
      </c>
      <c r="I105">
        <f>Table2[[#This Row],[Units]]*Table2[[#This Row],[Unit Price]]</f>
        <v>7990</v>
      </c>
      <c r="J105" t="str">
        <f>_xlfn.XLOOKUP(Table2[[#This Row],[Region Clean]],Table4[Region],Table4[Manager])</f>
        <v>Nikhil Verma</v>
      </c>
    </row>
    <row r="106" spans="1:10" x14ac:dyDescent="0.35">
      <c r="A106" s="8">
        <v>1159</v>
      </c>
      <c r="B106" s="12">
        <v>45735</v>
      </c>
      <c r="C106" t="str">
        <f>PROPER(TRIM(Sales_Data!C84))</f>
        <v>North</v>
      </c>
      <c r="D106" t="str">
        <f>PROPER(TRIM(Sales_Data!D84))</f>
        <v>Ravi Kumar</v>
      </c>
      <c r="E106" t="str">
        <f>PROPER(TRIM(Sales_Data!E84))</f>
        <v>Wireless Mouse</v>
      </c>
      <c r="F106" t="str">
        <f>PROPER(TRIM(Sales_Data!F84))</f>
        <v>Electronics</v>
      </c>
      <c r="G106">
        <f>IF(Sales_Data!G84=" ",0,Sales_Data!G84)</f>
        <v>9</v>
      </c>
      <c r="H106" s="6">
        <f>Sales_Data!H84</f>
        <v>799</v>
      </c>
      <c r="I106">
        <f>Table2[[#This Row],[Units]]*Table2[[#This Row],[Unit Price]]</f>
        <v>7191</v>
      </c>
      <c r="J106" t="str">
        <f>_xlfn.XLOOKUP(Table2[[#This Row],[Region Clean]],Table4[Region],Table4[Manager])</f>
        <v>Meera Nair</v>
      </c>
    </row>
    <row r="107" spans="1:10" x14ac:dyDescent="0.35">
      <c r="A107" s="8">
        <v>1062</v>
      </c>
      <c r="B107" s="12">
        <v>45660</v>
      </c>
      <c r="C107" t="str">
        <f>PROPER(TRIM(Sales_Data!C156))</f>
        <v>West</v>
      </c>
      <c r="D107" t="str">
        <f>PROPER(TRIM(Sales_Data!D156))</f>
        <v>Priya Mehta</v>
      </c>
      <c r="E107" t="str">
        <f>PROPER(TRIM(Sales_Data!E156))</f>
        <v>Wireless Mouse</v>
      </c>
      <c r="F107" t="str">
        <f>PROPER(TRIM(Sales_Data!F156))</f>
        <v>Electronics</v>
      </c>
      <c r="G107">
        <f>IF(Sales_Data!G156=" ",0,Sales_Data!G156)</f>
        <v>9</v>
      </c>
      <c r="H107" s="6">
        <f>Sales_Data!H156</f>
        <v>799</v>
      </c>
      <c r="I107">
        <f>Table2[[#This Row],[Units]]*Table2[[#This Row],[Unit Price]]</f>
        <v>7191</v>
      </c>
      <c r="J107" t="str">
        <f>_xlfn.XLOOKUP(Table2[[#This Row],[Region Clean]],Table4[Region],Table4[Manager])</f>
        <v>Nikhil Verma</v>
      </c>
    </row>
    <row r="108" spans="1:10" x14ac:dyDescent="0.35">
      <c r="A108" s="8">
        <v>1170</v>
      </c>
      <c r="B108" s="12">
        <v>45803</v>
      </c>
      <c r="C108" t="str">
        <f>PROPER(TRIM(Sales_Data!C116))</f>
        <v>East</v>
      </c>
      <c r="D108" t="str">
        <f>PROPER(TRIM(Sales_Data!D116))</f>
        <v>Amit Ghosh</v>
      </c>
      <c r="E108" t="str">
        <f>PROPER(TRIM(Sales_Data!E116))</f>
        <v>Wireless Mouse</v>
      </c>
      <c r="F108" t="str">
        <f>PROPER(TRIM(Sales_Data!F116))</f>
        <v>Electronics</v>
      </c>
      <c r="G108">
        <f>IF(Sales_Data!G116=" ",0,Sales_Data!G116)</f>
        <v>8</v>
      </c>
      <c r="H108" s="6">
        <f>Sales_Data!H116</f>
        <v>799</v>
      </c>
      <c r="I108">
        <f>Table2[[#This Row],[Units]]*Table2[[#This Row],[Unit Price]]</f>
        <v>6392</v>
      </c>
      <c r="J108" t="str">
        <f>_xlfn.XLOOKUP(Table2[[#This Row],[Region Clean]],Table4[Region],Table4[Manager])</f>
        <v>Kavita Bose</v>
      </c>
    </row>
    <row r="109" spans="1:10" x14ac:dyDescent="0.35">
      <c r="A109" s="8">
        <v>1056</v>
      </c>
      <c r="B109" s="12">
        <v>45678</v>
      </c>
      <c r="C109" t="str">
        <f>PROPER(TRIM(Sales_Data!C24))</f>
        <v>South</v>
      </c>
      <c r="D109" t="str">
        <f>PROPER(TRIM(Sales_Data!D24))</f>
        <v>Divya Sharma</v>
      </c>
      <c r="E109" t="str">
        <f>PROPER(TRIM(Sales_Data!E24))</f>
        <v>Bluetooth Speaker</v>
      </c>
      <c r="F109" t="str">
        <f>PROPER(TRIM(Sales_Data!F24))</f>
        <v>Electronics</v>
      </c>
      <c r="G109">
        <f>IF(Sales_Data!G24=" ",0,Sales_Data!G24)</f>
        <v>2</v>
      </c>
      <c r="H109" s="6">
        <f>Sales_Data!H24</f>
        <v>2999</v>
      </c>
      <c r="I109">
        <f>Table2[[#This Row],[Units]]*Table2[[#This Row],[Unit Price]]</f>
        <v>5998</v>
      </c>
      <c r="J109" t="str">
        <f>_xlfn.XLOOKUP(Table2[[#This Row],[Region Clean]],Table4[Region],Table4[Manager])</f>
        <v>Arjun Reddy</v>
      </c>
    </row>
    <row r="110" spans="1:10" x14ac:dyDescent="0.35">
      <c r="A110" s="8">
        <v>1111</v>
      </c>
      <c r="B110" s="12">
        <v>45756</v>
      </c>
      <c r="C110" t="str">
        <f>PROPER(TRIM(Sales_Data!C10))</f>
        <v>South</v>
      </c>
      <c r="D110" t="str">
        <f>PROPER(TRIM(Sales_Data!D10))</f>
        <v>Divya Sharma</v>
      </c>
      <c r="E110" t="str">
        <f>PROPER(TRIM(Sales_Data!E10))</f>
        <v>Wireless Mouse</v>
      </c>
      <c r="F110" t="str">
        <f>PROPER(TRIM(Sales_Data!F10))</f>
        <v>Electronics</v>
      </c>
      <c r="G110">
        <f>IF(Sales_Data!G10=" ",0,Sales_Data!G10)</f>
        <v>7</v>
      </c>
      <c r="H110" s="6">
        <f>Sales_Data!H10</f>
        <v>799</v>
      </c>
      <c r="I110">
        <f>Table2[[#This Row],[Units]]*Table2[[#This Row],[Unit Price]]</f>
        <v>5593</v>
      </c>
      <c r="J110" t="str">
        <f>_xlfn.XLOOKUP(Table2[[#This Row],[Region Clean]],Table4[Region],Table4[Manager])</f>
        <v>Arjun Reddy</v>
      </c>
    </row>
    <row r="111" spans="1:10" x14ac:dyDescent="0.35">
      <c r="A111" s="8">
        <v>1180</v>
      </c>
      <c r="B111" s="12">
        <v>45760</v>
      </c>
      <c r="C111" t="str">
        <f>PROPER(TRIM(Sales_Data!C63))</f>
        <v>North</v>
      </c>
      <c r="D111" t="str">
        <f>PROPER(TRIM(Sales_Data!D63))</f>
        <v>Ananya Rao</v>
      </c>
      <c r="E111" t="str">
        <f>PROPER(TRIM(Sales_Data!E63))</f>
        <v>Wireless Mouse</v>
      </c>
      <c r="F111" t="str">
        <f>PROPER(TRIM(Sales_Data!F63))</f>
        <v>Electronics</v>
      </c>
      <c r="G111">
        <f>IF(Sales_Data!G63=" ",0,Sales_Data!G63)</f>
        <v>6</v>
      </c>
      <c r="H111" s="6">
        <f>Sales_Data!H63</f>
        <v>799</v>
      </c>
      <c r="I111">
        <f>Table2[[#This Row],[Units]]*Table2[[#This Row],[Unit Price]]</f>
        <v>4794</v>
      </c>
      <c r="J111" t="str">
        <f>_xlfn.XLOOKUP(Table2[[#This Row],[Region Clean]],Table4[Region],Table4[Manager])</f>
        <v>Meera Nair</v>
      </c>
    </row>
    <row r="112" spans="1:10" x14ac:dyDescent="0.35">
      <c r="A112" s="8">
        <v>1037</v>
      </c>
      <c r="B112" s="12">
        <v>45688</v>
      </c>
      <c r="C112" t="str">
        <f>PROPER(TRIM(Sales_Data!C117))</f>
        <v>South</v>
      </c>
      <c r="D112" t="str">
        <f>PROPER(TRIM(Sales_Data!D117))</f>
        <v>Divya Sharma</v>
      </c>
      <c r="E112" t="str">
        <f>PROPER(TRIM(Sales_Data!E117))</f>
        <v>Wireless Mouse</v>
      </c>
      <c r="F112" t="str">
        <f>PROPER(TRIM(Sales_Data!F117))</f>
        <v>Electronics</v>
      </c>
      <c r="G112">
        <f>IF(Sales_Data!G117=" ",0,Sales_Data!G117)</f>
        <v>6</v>
      </c>
      <c r="H112" s="6">
        <f>Sales_Data!H117</f>
        <v>799</v>
      </c>
      <c r="I112">
        <f>Table2[[#This Row],[Units]]*Table2[[#This Row],[Unit Price]]</f>
        <v>4794</v>
      </c>
      <c r="J112" t="str">
        <f>_xlfn.XLOOKUP(Table2[[#This Row],[Region Clean]],Table4[Region],Table4[Manager])</f>
        <v>Arjun Reddy</v>
      </c>
    </row>
    <row r="113" spans="1:10" x14ac:dyDescent="0.35">
      <c r="A113" s="8">
        <v>1030</v>
      </c>
      <c r="B113" s="12">
        <v>45796</v>
      </c>
      <c r="C113" t="str">
        <f>PROPER(TRIM(Sales_Data!C182))</f>
        <v>North</v>
      </c>
      <c r="D113" t="str">
        <f>PROPER(TRIM(Sales_Data!D182))</f>
        <v>Ananya Rao</v>
      </c>
      <c r="E113" t="str">
        <f>PROPER(TRIM(Sales_Data!E182))</f>
        <v>Bookshelf</v>
      </c>
      <c r="F113" t="str">
        <f>PROPER(TRIM(Sales_Data!F182))</f>
        <v>Furniture</v>
      </c>
      <c r="G113">
        <f>IF(Sales_Data!G182=" ",0,Sales_Data!G182)</f>
        <v>1</v>
      </c>
      <c r="H113" s="6">
        <f>Sales_Data!H182</f>
        <v>4200</v>
      </c>
      <c r="I113">
        <f>Table2[[#This Row],[Units]]*Table2[[#This Row],[Unit Price]]</f>
        <v>4200</v>
      </c>
      <c r="J113" t="str">
        <f>_xlfn.XLOOKUP(Table2[[#This Row],[Region Clean]],Table4[Region],Table4[Manager])</f>
        <v>Meera Nair</v>
      </c>
    </row>
    <row r="114" spans="1:10" x14ac:dyDescent="0.35">
      <c r="A114" s="8">
        <v>1115</v>
      </c>
      <c r="B114" s="12">
        <v>45734</v>
      </c>
      <c r="C114" t="str">
        <f>PROPER(TRIM(Sales_Data!C4))</f>
        <v>West</v>
      </c>
      <c r="D114" t="str">
        <f>PROPER(TRIM(Sales_Data!D4))</f>
        <v>Rohan Shah</v>
      </c>
      <c r="E114" t="str">
        <f>PROPER(TRIM(Sales_Data!E4))</f>
        <v>Notebook Set</v>
      </c>
      <c r="F114" t="str">
        <f>PROPER(TRIM(Sales_Data!F4))</f>
        <v>Stationery</v>
      </c>
      <c r="G114">
        <f>IF(Sales_Data!G4=" ",0,Sales_Data!G4)</f>
        <v>12</v>
      </c>
      <c r="H114" s="6">
        <f>Sales_Data!H4</f>
        <v>350</v>
      </c>
      <c r="I114">
        <f>Table2[[#This Row],[Units]]*Table2[[#This Row],[Unit Price]]</f>
        <v>4200</v>
      </c>
      <c r="J114" t="str">
        <f>_xlfn.XLOOKUP(Table2[[#This Row],[Region Clean]],Table4[Region],Table4[Manager])</f>
        <v>Nikhil Verma</v>
      </c>
    </row>
    <row r="115" spans="1:10" x14ac:dyDescent="0.35">
      <c r="A115" s="8">
        <v>1027</v>
      </c>
      <c r="B115" s="12">
        <v>45733</v>
      </c>
      <c r="C115" t="str">
        <f>PROPER(TRIM(Sales_Data!C15))</f>
        <v>West</v>
      </c>
      <c r="D115" t="str">
        <f>PROPER(TRIM(Sales_Data!D15))</f>
        <v>Priya Mehta</v>
      </c>
      <c r="E115" t="str">
        <f>PROPER(TRIM(Sales_Data!E15))</f>
        <v>Bookshelf</v>
      </c>
      <c r="F115" t="str">
        <f>PROPER(TRIM(Sales_Data!F15))</f>
        <v>Furniture</v>
      </c>
      <c r="G115">
        <f>IF(Sales_Data!G15=" ",0,Sales_Data!G15)</f>
        <v>1</v>
      </c>
      <c r="H115" s="6">
        <f>Sales_Data!H15</f>
        <v>4200</v>
      </c>
      <c r="I115">
        <f>Table2[[#This Row],[Units]]*Table2[[#This Row],[Unit Price]]</f>
        <v>4200</v>
      </c>
      <c r="J115" t="str">
        <f>_xlfn.XLOOKUP(Table2[[#This Row],[Region Clean]],Table4[Region],Table4[Manager])</f>
        <v>Nikhil Verma</v>
      </c>
    </row>
    <row r="116" spans="1:10" x14ac:dyDescent="0.35">
      <c r="A116" s="8">
        <v>1144</v>
      </c>
      <c r="B116" s="12">
        <v>45783</v>
      </c>
      <c r="C116" t="str">
        <f>PROPER(TRIM(Sales_Data!C95))</f>
        <v>West</v>
      </c>
      <c r="D116" t="str">
        <f>PROPER(TRIM(Sales_Data!D95))</f>
        <v>Priya Mehta</v>
      </c>
      <c r="E116" t="str">
        <f>PROPER(TRIM(Sales_Data!E95))</f>
        <v>Wireless Mouse</v>
      </c>
      <c r="F116" t="str">
        <f>PROPER(TRIM(Sales_Data!F95))</f>
        <v>Electronics</v>
      </c>
      <c r="G116">
        <f>IF(Sales_Data!G95=" ",0,Sales_Data!G95)</f>
        <v>5</v>
      </c>
      <c r="H116" s="6">
        <f>Sales_Data!H95</f>
        <v>799</v>
      </c>
      <c r="I116">
        <f>Table2[[#This Row],[Units]]*Table2[[#This Row],[Unit Price]]</f>
        <v>3995</v>
      </c>
      <c r="J116" t="str">
        <f>_xlfn.XLOOKUP(Table2[[#This Row],[Region Clean]],Table4[Region],Table4[Manager])</f>
        <v>Nikhil Verma</v>
      </c>
    </row>
    <row r="117" spans="1:10" x14ac:dyDescent="0.35">
      <c r="A117" s="8">
        <v>1133</v>
      </c>
      <c r="B117" s="12">
        <v>45767</v>
      </c>
      <c r="C117" t="str">
        <f>PROPER(TRIM(Sales_Data!C172))</f>
        <v>East</v>
      </c>
      <c r="D117" t="str">
        <f>PROPER(TRIM(Sales_Data!D172))</f>
        <v>Sneha Das</v>
      </c>
      <c r="E117" t="str">
        <f>PROPER(TRIM(Sales_Data!E172))</f>
        <v>Notebook Set</v>
      </c>
      <c r="F117" t="str">
        <f>PROPER(TRIM(Sales_Data!F172))</f>
        <v>Stationery</v>
      </c>
      <c r="G117">
        <f>IF(Sales_Data!G172=" ",0,Sales_Data!G172)</f>
        <v>11</v>
      </c>
      <c r="H117" s="6">
        <f>Sales_Data!H172</f>
        <v>350</v>
      </c>
      <c r="I117">
        <f>Table2[[#This Row],[Units]]*Table2[[#This Row],[Unit Price]]</f>
        <v>3850</v>
      </c>
      <c r="J117" t="str">
        <f>_xlfn.XLOOKUP(Table2[[#This Row],[Region Clean]],Table4[Region],Table4[Manager])</f>
        <v>Kavita Bose</v>
      </c>
    </row>
    <row r="118" spans="1:10" x14ac:dyDescent="0.35">
      <c r="A118" s="8">
        <v>1151</v>
      </c>
      <c r="B118" s="12">
        <v>45781</v>
      </c>
      <c r="C118" t="str">
        <f>PROPER(TRIM(Sales_Data!C11))</f>
        <v>East</v>
      </c>
      <c r="D118" t="str">
        <f>PROPER(TRIM(Sales_Data!D11))</f>
        <v>Amit Ghosh</v>
      </c>
      <c r="E118" t="str">
        <f>PROPER(TRIM(Sales_Data!E11))</f>
        <v>Wireless Mouse</v>
      </c>
      <c r="F118" t="str">
        <f>PROPER(TRIM(Sales_Data!F11))</f>
        <v>Electronics</v>
      </c>
      <c r="G118">
        <f>IF(Sales_Data!G11=" ",0,Sales_Data!G11)</f>
        <v>4</v>
      </c>
      <c r="H118" s="6">
        <f>Sales_Data!H11</f>
        <v>799</v>
      </c>
      <c r="I118">
        <f>Table2[[#This Row],[Units]]*Table2[[#This Row],[Unit Price]]</f>
        <v>3196</v>
      </c>
      <c r="J118" t="str">
        <f>_xlfn.XLOOKUP(Table2[[#This Row],[Region Clean]],Table4[Region],Table4[Manager])</f>
        <v>Kavita Bose</v>
      </c>
    </row>
    <row r="119" spans="1:10" x14ac:dyDescent="0.35">
      <c r="A119" s="8">
        <v>1097</v>
      </c>
      <c r="B119" s="12">
        <v>45679</v>
      </c>
      <c r="C119" t="str">
        <f>PROPER(TRIM(Sales_Data!C61))</f>
        <v>East</v>
      </c>
      <c r="D119" t="str">
        <f>PROPER(TRIM(Sales_Data!D61))</f>
        <v>Amit Ghosh</v>
      </c>
      <c r="E119" t="str">
        <f>PROPER(TRIM(Sales_Data!E61))</f>
        <v>Wireless Mouse</v>
      </c>
      <c r="F119" t="str">
        <f>PROPER(TRIM(Sales_Data!F61))</f>
        <v>Electronics</v>
      </c>
      <c r="G119">
        <f>IF(Sales_Data!G61=" ",0,Sales_Data!G61)</f>
        <v>4</v>
      </c>
      <c r="H119" s="6">
        <f>Sales_Data!H61</f>
        <v>799</v>
      </c>
      <c r="I119">
        <f>Table2[[#This Row],[Units]]*Table2[[#This Row],[Unit Price]]</f>
        <v>3196</v>
      </c>
      <c r="J119" t="str">
        <f>_xlfn.XLOOKUP(Table2[[#This Row],[Region Clean]],Table4[Region],Table4[Manager])</f>
        <v>Kavita Bose</v>
      </c>
    </row>
    <row r="120" spans="1:10" x14ac:dyDescent="0.35">
      <c r="A120" s="8">
        <v>1142</v>
      </c>
      <c r="B120" s="12">
        <v>45728</v>
      </c>
      <c r="C120" t="str">
        <f>PROPER(TRIM(Sales_Data!C153))</f>
        <v>North</v>
      </c>
      <c r="D120" t="str">
        <f>PROPER(TRIM(Sales_Data!D153))</f>
        <v>Ravi Kumar</v>
      </c>
      <c r="E120" t="str">
        <f>PROPER(TRIM(Sales_Data!E153))</f>
        <v>Wireless Mouse</v>
      </c>
      <c r="F120" t="str">
        <f>PROPER(TRIM(Sales_Data!F153))</f>
        <v>Electronics</v>
      </c>
      <c r="G120">
        <f>IF(Sales_Data!G153=" ",0,Sales_Data!G153)</f>
        <v>4</v>
      </c>
      <c r="H120" s="6">
        <f>Sales_Data!H153</f>
        <v>799</v>
      </c>
      <c r="I120">
        <f>Table2[[#This Row],[Units]]*Table2[[#This Row],[Unit Price]]</f>
        <v>3196</v>
      </c>
      <c r="J120" t="str">
        <f>_xlfn.XLOOKUP(Table2[[#This Row],[Region Clean]],Table4[Region],Table4[Manager])</f>
        <v>Meera Nair</v>
      </c>
    </row>
    <row r="121" spans="1:10" x14ac:dyDescent="0.35">
      <c r="A121" s="8">
        <v>1012</v>
      </c>
      <c r="B121" s="12">
        <v>45827</v>
      </c>
      <c r="C121" t="str">
        <f>PROPER(TRIM(Sales_Data!C27))</f>
        <v>South</v>
      </c>
      <c r="D121" t="str">
        <f>PROPER(TRIM(Sales_Data!D27))</f>
        <v>Karthik Iyer</v>
      </c>
      <c r="E121" t="str">
        <f>PROPER(TRIM(Sales_Data!E27))</f>
        <v>Wireless Mouse</v>
      </c>
      <c r="F121" t="str">
        <f>PROPER(TRIM(Sales_Data!F27))</f>
        <v>Electronics</v>
      </c>
      <c r="G121">
        <f>IF(Sales_Data!G27=" ",0,Sales_Data!G27)</f>
        <v>4</v>
      </c>
      <c r="H121" s="6">
        <f>Sales_Data!H27</f>
        <v>799</v>
      </c>
      <c r="I121">
        <f>Table2[[#This Row],[Units]]*Table2[[#This Row],[Unit Price]]</f>
        <v>3196</v>
      </c>
      <c r="J121" t="str">
        <f>_xlfn.XLOOKUP(Table2[[#This Row],[Region Clean]],Table4[Region],Table4[Manager])</f>
        <v>Arjun Reddy</v>
      </c>
    </row>
    <row r="122" spans="1:10" x14ac:dyDescent="0.35">
      <c r="A122" s="8">
        <v>1146</v>
      </c>
      <c r="B122" s="12">
        <v>45806</v>
      </c>
      <c r="C122" t="str">
        <f>PROPER(TRIM(Sales_Data!C92))</f>
        <v>East</v>
      </c>
      <c r="D122" t="str">
        <f>PROPER(TRIM(Sales_Data!D92))</f>
        <v>Amit Ghosh</v>
      </c>
      <c r="E122" t="str">
        <f>PROPER(TRIM(Sales_Data!E92))</f>
        <v>Notebook Set</v>
      </c>
      <c r="F122" t="str">
        <f>PROPER(TRIM(Sales_Data!F92))</f>
        <v>Stationery</v>
      </c>
      <c r="G122">
        <f>IF(Sales_Data!G92=" ",0,Sales_Data!G92)</f>
        <v>9</v>
      </c>
      <c r="H122" s="6">
        <f>Sales_Data!H92</f>
        <v>350</v>
      </c>
      <c r="I122">
        <f>Table2[[#This Row],[Units]]*Table2[[#This Row],[Unit Price]]</f>
        <v>3150</v>
      </c>
      <c r="J122" t="str">
        <f>_xlfn.XLOOKUP(Table2[[#This Row],[Region Clean]],Table4[Region],Table4[Manager])</f>
        <v>Kavita Bose</v>
      </c>
    </row>
    <row r="123" spans="1:10" x14ac:dyDescent="0.35">
      <c r="A123" s="8">
        <v>1036</v>
      </c>
      <c r="B123" s="12">
        <v>45824</v>
      </c>
      <c r="C123" t="str">
        <f>PROPER(TRIM(Sales_Data!C14))</f>
        <v>East</v>
      </c>
      <c r="D123" t="str">
        <f>PROPER(TRIM(Sales_Data!D14))</f>
        <v>Amit Ghosh</v>
      </c>
      <c r="E123" t="str">
        <f>PROPER(TRIM(Sales_Data!E14))</f>
        <v>Notebook Set</v>
      </c>
      <c r="F123" t="str">
        <f>PROPER(TRIM(Sales_Data!F14))</f>
        <v>Stationery</v>
      </c>
      <c r="G123">
        <f>IF(Sales_Data!G14=" ",0,Sales_Data!G14)</f>
        <v>8</v>
      </c>
      <c r="H123" s="6">
        <f>Sales_Data!H14</f>
        <v>350</v>
      </c>
      <c r="I123">
        <f>Table2[[#This Row],[Units]]*Table2[[#This Row],[Unit Price]]</f>
        <v>2800</v>
      </c>
      <c r="J123" t="str">
        <f>_xlfn.XLOOKUP(Table2[[#This Row],[Region Clean]],Table4[Region],Table4[Manager])</f>
        <v>Kavita Bose</v>
      </c>
    </row>
    <row r="124" spans="1:10" x14ac:dyDescent="0.35">
      <c r="A124" s="8">
        <v>1022</v>
      </c>
      <c r="B124" s="12">
        <v>45750</v>
      </c>
      <c r="C124" t="str">
        <f>PROPER(TRIM(Sales_Data!C58))</f>
        <v>South</v>
      </c>
      <c r="D124" t="str">
        <f>PROPER(TRIM(Sales_Data!D58))</f>
        <v>Divya Sharma</v>
      </c>
      <c r="E124" t="str">
        <f>PROPER(TRIM(Sales_Data!E58))</f>
        <v>Notebook Set</v>
      </c>
      <c r="F124" t="str">
        <f>PROPER(TRIM(Sales_Data!F58))</f>
        <v>Stationery</v>
      </c>
      <c r="G124">
        <f>IF(Sales_Data!G58=" ",0,Sales_Data!G58)</f>
        <v>8</v>
      </c>
      <c r="H124" s="6">
        <f>Sales_Data!H58</f>
        <v>350</v>
      </c>
      <c r="I124">
        <f>Table2[[#This Row],[Units]]*Table2[[#This Row],[Unit Price]]</f>
        <v>2800</v>
      </c>
      <c r="J124" t="str">
        <f>_xlfn.XLOOKUP(Table2[[#This Row],[Region Clean]],Table4[Region],Table4[Manager])</f>
        <v>Arjun Reddy</v>
      </c>
    </row>
    <row r="125" spans="1:10" x14ac:dyDescent="0.35">
      <c r="A125" s="8">
        <v>1040</v>
      </c>
      <c r="B125" s="12">
        <v>45742</v>
      </c>
      <c r="C125" t="str">
        <f>PROPER(TRIM(Sales_Data!C144))</f>
        <v>North</v>
      </c>
      <c r="D125" t="str">
        <f>PROPER(TRIM(Sales_Data!D144))</f>
        <v>Ravi Kumar</v>
      </c>
      <c r="E125" t="str">
        <f>PROPER(TRIM(Sales_Data!E144))</f>
        <v>A4 Paper Ream</v>
      </c>
      <c r="F125" t="str">
        <f>PROPER(TRIM(Sales_Data!F144))</f>
        <v>Stationery</v>
      </c>
      <c r="G125">
        <f>IF(Sales_Data!G144=" ",0,Sales_Data!G144)</f>
        <v>11</v>
      </c>
      <c r="H125" s="6">
        <f>Sales_Data!H144</f>
        <v>250</v>
      </c>
      <c r="I125">
        <f>Table2[[#This Row],[Units]]*Table2[[#This Row],[Unit Price]]</f>
        <v>2750</v>
      </c>
      <c r="J125" t="str">
        <f>_xlfn.XLOOKUP(Table2[[#This Row],[Region Clean]],Table4[Region],Table4[Manager])</f>
        <v>Meera Nair</v>
      </c>
    </row>
    <row r="126" spans="1:10" x14ac:dyDescent="0.35">
      <c r="A126" s="8">
        <v>1028</v>
      </c>
      <c r="B126" s="12">
        <v>45725</v>
      </c>
      <c r="C126" t="str">
        <f>PROPER(TRIM(Sales_Data!C39))</f>
        <v>South</v>
      </c>
      <c r="D126" t="str">
        <f>PROPER(TRIM(Sales_Data!D39))</f>
        <v>Divya Sharma</v>
      </c>
      <c r="E126" t="str">
        <f>PROPER(TRIM(Sales_Data!E39))</f>
        <v>A4 Paper Ream</v>
      </c>
      <c r="F126" t="str">
        <f>PROPER(TRIM(Sales_Data!F39))</f>
        <v>Stationery</v>
      </c>
      <c r="G126">
        <f>IF(Sales_Data!G39=" ",0,Sales_Data!G39)</f>
        <v>11</v>
      </c>
      <c r="H126" s="6">
        <f>Sales_Data!H39</f>
        <v>250</v>
      </c>
      <c r="I126">
        <f>Table2[[#This Row],[Units]]*Table2[[#This Row],[Unit Price]]</f>
        <v>2750</v>
      </c>
      <c r="J126" t="str">
        <f>_xlfn.XLOOKUP(Table2[[#This Row],[Region Clean]],Table4[Region],Table4[Manager])</f>
        <v>Arjun Reddy</v>
      </c>
    </row>
    <row r="127" spans="1:10" x14ac:dyDescent="0.35">
      <c r="A127" s="8">
        <v>1145</v>
      </c>
      <c r="B127" s="12">
        <v>45714</v>
      </c>
      <c r="C127" t="str">
        <f>PROPER(TRIM(Sales_Data!C55))</f>
        <v>West</v>
      </c>
      <c r="D127" t="str">
        <f>PROPER(TRIM(Sales_Data!D55))</f>
        <v>Priya Mehta</v>
      </c>
      <c r="E127" t="str">
        <f>PROPER(TRIM(Sales_Data!E55))</f>
        <v>A4 Paper Ream</v>
      </c>
      <c r="F127" t="str">
        <f>PROPER(TRIM(Sales_Data!F55))</f>
        <v>Stationery</v>
      </c>
      <c r="G127">
        <f>IF(Sales_Data!G55=" ",0,Sales_Data!G55)</f>
        <v>11</v>
      </c>
      <c r="H127" s="6">
        <f>Sales_Data!H55</f>
        <v>250</v>
      </c>
      <c r="I127">
        <f>Table2[[#This Row],[Units]]*Table2[[#This Row],[Unit Price]]</f>
        <v>2750</v>
      </c>
      <c r="J127" t="str">
        <f>_xlfn.XLOOKUP(Table2[[#This Row],[Region Clean]],Table4[Region],Table4[Manager])</f>
        <v>Nikhil Verma</v>
      </c>
    </row>
    <row r="128" spans="1:10" x14ac:dyDescent="0.35">
      <c r="A128" s="8">
        <v>1179</v>
      </c>
      <c r="B128" s="12">
        <v>45742</v>
      </c>
      <c r="C128" t="str">
        <f>PROPER(TRIM(Sales_Data!C128))</f>
        <v>West</v>
      </c>
      <c r="D128" t="str">
        <f>PROPER(TRIM(Sales_Data!D128))</f>
        <v>Rohan Shah</v>
      </c>
      <c r="E128" t="str">
        <f>PROPER(TRIM(Sales_Data!E128))</f>
        <v>A4 Paper Ream</v>
      </c>
      <c r="F128" t="str">
        <f>PROPER(TRIM(Sales_Data!F128))</f>
        <v>Stationery</v>
      </c>
      <c r="G128">
        <f>IF(Sales_Data!G128=" ",0,Sales_Data!G128)</f>
        <v>11</v>
      </c>
      <c r="H128" s="6">
        <f>Sales_Data!H128</f>
        <v>250</v>
      </c>
      <c r="I128">
        <f>Table2[[#This Row],[Units]]*Table2[[#This Row],[Unit Price]]</f>
        <v>2750</v>
      </c>
      <c r="J128" t="str">
        <f>_xlfn.XLOOKUP(Table2[[#This Row],[Region Clean]],Table4[Region],Table4[Manager])</f>
        <v>Nikhil Verma</v>
      </c>
    </row>
    <row r="129" spans="1:10" x14ac:dyDescent="0.35">
      <c r="A129" s="8">
        <v>1169</v>
      </c>
      <c r="B129" s="12">
        <v>45676</v>
      </c>
      <c r="C129" t="str">
        <f>PROPER(TRIM(Sales_Data!C178))</f>
        <v>North</v>
      </c>
      <c r="D129" t="str">
        <f>PROPER(TRIM(Sales_Data!D178))</f>
        <v>Ravi Kumar</v>
      </c>
      <c r="E129" t="str">
        <f>PROPER(TRIM(Sales_Data!E178))</f>
        <v>A4 Paper Ream</v>
      </c>
      <c r="F129" t="str">
        <f>PROPER(TRIM(Sales_Data!F178))</f>
        <v>Stationery</v>
      </c>
      <c r="G129">
        <f>IF(Sales_Data!G178=" ",0,Sales_Data!G178)</f>
        <v>10</v>
      </c>
      <c r="H129" s="6">
        <f>Sales_Data!H178</f>
        <v>250</v>
      </c>
      <c r="I129">
        <f>Table2[[#This Row],[Units]]*Table2[[#This Row],[Unit Price]]</f>
        <v>2500</v>
      </c>
      <c r="J129" t="str">
        <f>_xlfn.XLOOKUP(Table2[[#This Row],[Region Clean]],Table4[Region],Table4[Manager])</f>
        <v>Meera Nair</v>
      </c>
    </row>
    <row r="130" spans="1:10" x14ac:dyDescent="0.35">
      <c r="A130" s="8">
        <v>1067</v>
      </c>
      <c r="B130" s="12">
        <v>45685</v>
      </c>
      <c r="C130" t="str">
        <f>PROPER(TRIM(Sales_Data!C28))</f>
        <v>South</v>
      </c>
      <c r="D130" t="str">
        <f>PROPER(TRIM(Sales_Data!D28))</f>
        <v>Karthik Iyer</v>
      </c>
      <c r="E130" t="str">
        <f>PROPER(TRIM(Sales_Data!E28))</f>
        <v>A4 Paper Ream</v>
      </c>
      <c r="F130" t="str">
        <f>PROPER(TRIM(Sales_Data!F28))</f>
        <v>Stationery</v>
      </c>
      <c r="G130">
        <f>IF(Sales_Data!G28=" ",0,Sales_Data!G28)</f>
        <v>10</v>
      </c>
      <c r="H130" s="6">
        <f>Sales_Data!H28</f>
        <v>250</v>
      </c>
      <c r="I130">
        <f>Table2[[#This Row],[Units]]*Table2[[#This Row],[Unit Price]]</f>
        <v>2500</v>
      </c>
      <c r="J130" t="str">
        <f>_xlfn.XLOOKUP(Table2[[#This Row],[Region Clean]],Table4[Region],Table4[Manager])</f>
        <v>Arjun Reddy</v>
      </c>
    </row>
    <row r="131" spans="1:10" x14ac:dyDescent="0.35">
      <c r="A131" s="8">
        <v>1076</v>
      </c>
      <c r="B131" s="12">
        <v>45721</v>
      </c>
      <c r="C131" t="str">
        <f>PROPER(TRIM(Sales_Data!C113))</f>
        <v>North</v>
      </c>
      <c r="D131" t="str">
        <f>PROPER(TRIM(Sales_Data!D113))</f>
        <v>Ananya Rao</v>
      </c>
      <c r="E131" t="str">
        <f>PROPER(TRIM(Sales_Data!E113))</f>
        <v>Notebook Set</v>
      </c>
      <c r="F131" t="str">
        <f>PROPER(TRIM(Sales_Data!F113))</f>
        <v>Stationery</v>
      </c>
      <c r="G131">
        <f>IF(Sales_Data!G113=" ",0,Sales_Data!G113)</f>
        <v>7</v>
      </c>
      <c r="H131" s="6">
        <f>Sales_Data!H113</f>
        <v>350</v>
      </c>
      <c r="I131">
        <f>Table2[[#This Row],[Units]]*Table2[[#This Row],[Unit Price]]</f>
        <v>2450</v>
      </c>
      <c r="J131" t="str">
        <f>_xlfn.XLOOKUP(Table2[[#This Row],[Region Clean]],Table4[Region],Table4[Manager])</f>
        <v>Meera Nair</v>
      </c>
    </row>
    <row r="132" spans="1:10" x14ac:dyDescent="0.35">
      <c r="A132" s="8">
        <v>1178</v>
      </c>
      <c r="B132" s="12">
        <v>45762</v>
      </c>
      <c r="C132" t="str">
        <f>PROPER(TRIM(Sales_Data!C118))</f>
        <v>East</v>
      </c>
      <c r="D132" t="str">
        <f>PROPER(TRIM(Sales_Data!D118))</f>
        <v>Amit Ghosh</v>
      </c>
      <c r="E132" t="str">
        <f>PROPER(TRIM(Sales_Data!E118))</f>
        <v>Wireless Mouse</v>
      </c>
      <c r="F132" t="str">
        <f>PROPER(TRIM(Sales_Data!F118))</f>
        <v>Electronics</v>
      </c>
      <c r="G132">
        <f>IF(Sales_Data!G118=" ",0,Sales_Data!G118)</f>
        <v>3</v>
      </c>
      <c r="H132" s="6">
        <f>Sales_Data!H118</f>
        <v>799</v>
      </c>
      <c r="I132">
        <f>Table2[[#This Row],[Units]]*Table2[[#This Row],[Unit Price]]</f>
        <v>2397</v>
      </c>
      <c r="J132" t="str">
        <f>_xlfn.XLOOKUP(Table2[[#This Row],[Region Clean]],Table4[Region],Table4[Manager])</f>
        <v>Kavita Bose</v>
      </c>
    </row>
    <row r="133" spans="1:10" x14ac:dyDescent="0.35">
      <c r="A133" s="8">
        <v>1171</v>
      </c>
      <c r="B133" s="12">
        <v>45834</v>
      </c>
      <c r="C133" t="str">
        <f>PROPER(TRIM(Sales_Data!C16))</f>
        <v>East</v>
      </c>
      <c r="D133" t="str">
        <f>PROPER(TRIM(Sales_Data!D16))</f>
        <v>Amit Ghosh</v>
      </c>
      <c r="E133" t="str">
        <f>PROPER(TRIM(Sales_Data!E16))</f>
        <v>A4 Paper Ream</v>
      </c>
      <c r="F133" t="str">
        <f>PROPER(TRIM(Sales_Data!F16))</f>
        <v>Stationery</v>
      </c>
      <c r="G133">
        <f>IF(Sales_Data!G16=" ",0,Sales_Data!G16)</f>
        <v>9</v>
      </c>
      <c r="H133" s="6">
        <f>Sales_Data!H16</f>
        <v>250</v>
      </c>
      <c r="I133">
        <f>Table2[[#This Row],[Units]]*Table2[[#This Row],[Unit Price]]</f>
        <v>2250</v>
      </c>
      <c r="J133" t="str">
        <f>_xlfn.XLOOKUP(Table2[[#This Row],[Region Clean]],Table4[Region],Table4[Manager])</f>
        <v>Kavita Bose</v>
      </c>
    </row>
    <row r="134" spans="1:10" x14ac:dyDescent="0.35">
      <c r="A134" s="8">
        <v>1068</v>
      </c>
      <c r="B134" s="12">
        <v>45711</v>
      </c>
      <c r="C134" t="str">
        <f>PROPER(TRIM(Sales_Data!C74))</f>
        <v>East</v>
      </c>
      <c r="D134" t="str">
        <f>PROPER(TRIM(Sales_Data!D74))</f>
        <v>Sneha Das</v>
      </c>
      <c r="E134" t="str">
        <f>PROPER(TRIM(Sales_Data!E74))</f>
        <v>A4 Paper Ream</v>
      </c>
      <c r="F134" t="str">
        <f>PROPER(TRIM(Sales_Data!F74))</f>
        <v>Stationery</v>
      </c>
      <c r="G134">
        <f>IF(Sales_Data!G74=" ",0,Sales_Data!G74)</f>
        <v>9</v>
      </c>
      <c r="H134" s="6">
        <f>Sales_Data!H74</f>
        <v>250</v>
      </c>
      <c r="I134">
        <f>Table2[[#This Row],[Units]]*Table2[[#This Row],[Unit Price]]</f>
        <v>2250</v>
      </c>
      <c r="J134" t="str">
        <f>_xlfn.XLOOKUP(Table2[[#This Row],[Region Clean]],Table4[Region],Table4[Manager])</f>
        <v>Kavita Bose</v>
      </c>
    </row>
    <row r="135" spans="1:10" x14ac:dyDescent="0.35">
      <c r="A135" s="8">
        <v>1051</v>
      </c>
      <c r="B135" s="12">
        <v>45755</v>
      </c>
      <c r="C135" t="str">
        <f>PROPER(TRIM(Sales_Data!C43))</f>
        <v>North</v>
      </c>
      <c r="D135" t="str">
        <f>PROPER(TRIM(Sales_Data!D43))</f>
        <v>Ananya Rao</v>
      </c>
      <c r="E135" t="str">
        <f>PROPER(TRIM(Sales_Data!E43))</f>
        <v>A4 Paper Ream</v>
      </c>
      <c r="F135" t="str">
        <f>PROPER(TRIM(Sales_Data!F43))</f>
        <v>Stationery</v>
      </c>
      <c r="G135">
        <f>IF(Sales_Data!G43=" ",0,Sales_Data!G43)</f>
        <v>8</v>
      </c>
      <c r="H135" s="6">
        <f>Sales_Data!H43</f>
        <v>250</v>
      </c>
      <c r="I135">
        <f>Table2[[#This Row],[Units]]*Table2[[#This Row],[Unit Price]]</f>
        <v>2000</v>
      </c>
      <c r="J135" t="str">
        <f>_xlfn.XLOOKUP(Table2[[#This Row],[Region Clean]],Table4[Region],Table4[Manager])</f>
        <v>Meera Nair</v>
      </c>
    </row>
    <row r="136" spans="1:10" x14ac:dyDescent="0.35">
      <c r="A136" s="8">
        <v>1156</v>
      </c>
      <c r="B136" s="12">
        <v>45745</v>
      </c>
      <c r="C136" t="str">
        <f>PROPER(TRIM(Sales_Data!C23))</f>
        <v>South</v>
      </c>
      <c r="D136" t="str">
        <f>PROPER(TRIM(Sales_Data!D23))</f>
        <v>Divya Sharma</v>
      </c>
      <c r="E136" t="str">
        <f>PROPER(TRIM(Sales_Data!E23))</f>
        <v>A4 Paper Ream</v>
      </c>
      <c r="F136" t="str">
        <f>PROPER(TRIM(Sales_Data!F23))</f>
        <v>Stationery</v>
      </c>
      <c r="G136">
        <f>IF(Sales_Data!G23=" ",0,Sales_Data!G23)</f>
        <v>8</v>
      </c>
      <c r="H136" s="6">
        <f>Sales_Data!H23</f>
        <v>250</v>
      </c>
      <c r="I136">
        <f>Table2[[#This Row],[Units]]*Table2[[#This Row],[Unit Price]]</f>
        <v>2000</v>
      </c>
      <c r="J136" t="str">
        <f>_xlfn.XLOOKUP(Table2[[#This Row],[Region Clean]],Table4[Region],Table4[Manager])</f>
        <v>Arjun Reddy</v>
      </c>
    </row>
    <row r="137" spans="1:10" x14ac:dyDescent="0.35">
      <c r="A137" s="8">
        <v>1108</v>
      </c>
      <c r="B137" s="12">
        <v>45728</v>
      </c>
      <c r="C137" t="str">
        <f>PROPER(TRIM(Sales_Data!C114))</f>
        <v>West</v>
      </c>
      <c r="D137" t="str">
        <f>PROPER(TRIM(Sales_Data!D114))</f>
        <v>Priya Mehta</v>
      </c>
      <c r="E137" t="str">
        <f>PROPER(TRIM(Sales_Data!E114))</f>
        <v>A4 Paper Ream</v>
      </c>
      <c r="F137" t="str">
        <f>PROPER(TRIM(Sales_Data!F114))</f>
        <v>Stationery</v>
      </c>
      <c r="G137">
        <f>IF(Sales_Data!G114=" ",0,Sales_Data!G114)</f>
        <v>8</v>
      </c>
      <c r="H137" s="6">
        <f>Sales_Data!H114</f>
        <v>250</v>
      </c>
      <c r="I137">
        <f>Table2[[#This Row],[Units]]*Table2[[#This Row],[Unit Price]]</f>
        <v>2000</v>
      </c>
      <c r="J137" t="str">
        <f>_xlfn.XLOOKUP(Table2[[#This Row],[Region Clean]],Table4[Region],Table4[Manager])</f>
        <v>Nikhil Verma</v>
      </c>
    </row>
    <row r="138" spans="1:10" x14ac:dyDescent="0.35">
      <c r="A138" s="8">
        <v>1065</v>
      </c>
      <c r="B138" s="12">
        <v>45797</v>
      </c>
      <c r="C138" t="str">
        <f>PROPER(TRIM(Sales_Data!C184))</f>
        <v>East</v>
      </c>
      <c r="D138" t="str">
        <f>PROPER(TRIM(Sales_Data!D184))</f>
        <v>Sneha Das</v>
      </c>
      <c r="E138" t="str">
        <f>PROPER(TRIM(Sales_Data!E184))</f>
        <v>Notebook Set</v>
      </c>
      <c r="F138" t="str">
        <f>PROPER(TRIM(Sales_Data!F184))</f>
        <v>Stationery</v>
      </c>
      <c r="G138">
        <f>IF(Sales_Data!G184=" ",0,Sales_Data!G184)</f>
        <v>5</v>
      </c>
      <c r="H138" s="6">
        <f>Sales_Data!H184</f>
        <v>350</v>
      </c>
      <c r="I138">
        <f>Table2[[#This Row],[Units]]*Table2[[#This Row],[Unit Price]]</f>
        <v>1750</v>
      </c>
      <c r="J138" t="str">
        <f>_xlfn.XLOOKUP(Table2[[#This Row],[Region Clean]],Table4[Region],Table4[Manager])</f>
        <v>Kavita Bose</v>
      </c>
    </row>
    <row r="139" spans="1:10" x14ac:dyDescent="0.35">
      <c r="A139" s="8">
        <v>1121</v>
      </c>
      <c r="B139" s="12">
        <v>45776</v>
      </c>
      <c r="C139" t="str">
        <f>PROPER(TRIM(Sales_Data!C137))</f>
        <v>South</v>
      </c>
      <c r="D139" t="str">
        <f>PROPER(TRIM(Sales_Data!D137))</f>
        <v>Divya Sharma</v>
      </c>
      <c r="E139" t="str">
        <f>PROPER(TRIM(Sales_Data!E137))</f>
        <v>A4 Paper Ream</v>
      </c>
      <c r="F139" t="str">
        <f>PROPER(TRIM(Sales_Data!F137))</f>
        <v>Stationery</v>
      </c>
      <c r="G139">
        <f>IF(Sales_Data!G137=" ",0,Sales_Data!G137)</f>
        <v>7</v>
      </c>
      <c r="H139" s="6">
        <f>Sales_Data!H137</f>
        <v>250</v>
      </c>
      <c r="I139">
        <f>Table2[[#This Row],[Units]]*Table2[[#This Row],[Unit Price]]</f>
        <v>1750</v>
      </c>
      <c r="J139" t="str">
        <f>_xlfn.XLOOKUP(Table2[[#This Row],[Region Clean]],Table4[Region],Table4[Manager])</f>
        <v>Arjun Reddy</v>
      </c>
    </row>
    <row r="140" spans="1:10" x14ac:dyDescent="0.35">
      <c r="A140" s="8">
        <v>1010</v>
      </c>
      <c r="B140" s="12">
        <v>45689</v>
      </c>
      <c r="C140" t="str">
        <f>PROPER(TRIM(Sales_Data!C68))</f>
        <v>West</v>
      </c>
      <c r="D140" t="str">
        <f>PROPER(TRIM(Sales_Data!D68))</f>
        <v>Priya Mehta</v>
      </c>
      <c r="E140" t="str">
        <f>PROPER(TRIM(Sales_Data!E68))</f>
        <v>Notebook Set</v>
      </c>
      <c r="F140" t="str">
        <f>PROPER(TRIM(Sales_Data!F68))</f>
        <v>Stationery</v>
      </c>
      <c r="G140">
        <f>IF(Sales_Data!G68=" ",0,Sales_Data!G68)</f>
        <v>5</v>
      </c>
      <c r="H140" s="6">
        <f>Sales_Data!H68</f>
        <v>350</v>
      </c>
      <c r="I140">
        <f>Table2[[#This Row],[Units]]*Table2[[#This Row],[Unit Price]]</f>
        <v>1750</v>
      </c>
      <c r="J140" t="str">
        <f>_xlfn.XLOOKUP(Table2[[#This Row],[Region Clean]],Table4[Region],Table4[Manager])</f>
        <v>Nikhil Verma</v>
      </c>
    </row>
    <row r="141" spans="1:10" x14ac:dyDescent="0.35">
      <c r="A141" s="8">
        <v>1109</v>
      </c>
      <c r="B141" s="12">
        <v>45677</v>
      </c>
      <c r="C141" t="str">
        <f>PROPER(TRIM(Sales_Data!C46))</f>
        <v>East</v>
      </c>
      <c r="D141" t="str">
        <f>PROPER(TRIM(Sales_Data!D46))</f>
        <v>Sneha Das</v>
      </c>
      <c r="E141" t="str">
        <f>PROPER(TRIM(Sales_Data!E46))</f>
        <v>A4 Paper Ream</v>
      </c>
      <c r="F141" t="str">
        <f>PROPER(TRIM(Sales_Data!F46))</f>
        <v>Stationery</v>
      </c>
      <c r="G141">
        <f>IF(Sales_Data!G46=" ",0,Sales_Data!G46)</f>
        <v>6</v>
      </c>
      <c r="H141" s="6">
        <f>Sales_Data!H46</f>
        <v>250</v>
      </c>
      <c r="I141">
        <f>Table2[[#This Row],[Units]]*Table2[[#This Row],[Unit Price]]</f>
        <v>1500</v>
      </c>
      <c r="J141" t="str">
        <f>_xlfn.XLOOKUP(Table2[[#This Row],[Region Clean]],Table4[Region],Table4[Manager])</f>
        <v>Kavita Bose</v>
      </c>
    </row>
    <row r="142" spans="1:10" x14ac:dyDescent="0.35">
      <c r="A142" s="8">
        <v>1147</v>
      </c>
      <c r="B142" s="12">
        <v>45746</v>
      </c>
      <c r="C142" t="str">
        <f>PROPER(TRIM(Sales_Data!C108))</f>
        <v>West</v>
      </c>
      <c r="D142" t="str">
        <f>PROPER(TRIM(Sales_Data!D108))</f>
        <v>Rohan Shah</v>
      </c>
      <c r="E142" t="str">
        <f>PROPER(TRIM(Sales_Data!E108))</f>
        <v>Gel Pen Pack</v>
      </c>
      <c r="F142" t="str">
        <f>PROPER(TRIM(Sales_Data!F108))</f>
        <v>Stationery</v>
      </c>
      <c r="G142">
        <f>IF(Sales_Data!G108=" ",0,Sales_Data!G108)</f>
        <v>12</v>
      </c>
      <c r="H142" s="6">
        <f>Sales_Data!H108</f>
        <v>120</v>
      </c>
      <c r="I142">
        <f>Table2[[#This Row],[Units]]*Table2[[#This Row],[Unit Price]]</f>
        <v>1440</v>
      </c>
      <c r="J142" t="str">
        <f>_xlfn.XLOOKUP(Table2[[#This Row],[Region Clean]],Table4[Region],Table4[Manager])</f>
        <v>Nikhil Verma</v>
      </c>
    </row>
    <row r="143" spans="1:10" x14ac:dyDescent="0.35">
      <c r="A143" s="8">
        <v>1004</v>
      </c>
      <c r="B143" s="12">
        <v>45713</v>
      </c>
      <c r="C143" t="str">
        <f>PROPER(TRIM(Sales_Data!C152))</f>
        <v>South</v>
      </c>
      <c r="D143" t="str">
        <f>PROPER(TRIM(Sales_Data!D152))</f>
        <v>Divya Sharma</v>
      </c>
      <c r="E143" t="str">
        <f>PROPER(TRIM(Sales_Data!E152))</f>
        <v>Notebook Set</v>
      </c>
      <c r="F143" t="str">
        <f>PROPER(TRIM(Sales_Data!F152))</f>
        <v>Stationery</v>
      </c>
      <c r="G143">
        <f>IF(Sales_Data!G152=" ",0,Sales_Data!G152)</f>
        <v>4</v>
      </c>
      <c r="H143" s="6">
        <f>Sales_Data!H152</f>
        <v>350</v>
      </c>
      <c r="I143">
        <f>Table2[[#This Row],[Units]]*Table2[[#This Row],[Unit Price]]</f>
        <v>1400</v>
      </c>
      <c r="J143" t="str">
        <f>_xlfn.XLOOKUP(Table2[[#This Row],[Region Clean]],Table4[Region],Table4[Manager])</f>
        <v>Arjun Reddy</v>
      </c>
    </row>
    <row r="144" spans="1:10" x14ac:dyDescent="0.35">
      <c r="A144" s="8">
        <v>1103</v>
      </c>
      <c r="B144" s="12">
        <v>45703</v>
      </c>
      <c r="C144" t="str">
        <f>PROPER(TRIM(Sales_Data!C78))</f>
        <v>West</v>
      </c>
      <c r="D144" t="str">
        <f>PROPER(TRIM(Sales_Data!D78))</f>
        <v>Priya Mehta</v>
      </c>
      <c r="E144" t="str">
        <f>PROPER(TRIM(Sales_Data!E78))</f>
        <v>Notebook Set</v>
      </c>
      <c r="F144" t="str">
        <f>PROPER(TRIM(Sales_Data!F78))</f>
        <v>Stationery</v>
      </c>
      <c r="G144">
        <f>IF(Sales_Data!G78=" ",0,Sales_Data!G78)</f>
        <v>4</v>
      </c>
      <c r="H144" s="6">
        <f>Sales_Data!H78</f>
        <v>350</v>
      </c>
      <c r="I144">
        <f>Table2[[#This Row],[Units]]*Table2[[#This Row],[Unit Price]]</f>
        <v>1400</v>
      </c>
      <c r="J144" t="str">
        <f>_xlfn.XLOOKUP(Table2[[#This Row],[Region Clean]],Table4[Region],Table4[Manager])</f>
        <v>Nikhil Verma</v>
      </c>
    </row>
    <row r="145" spans="1:10" x14ac:dyDescent="0.35">
      <c r="A145" s="8">
        <v>1083</v>
      </c>
      <c r="B145" s="12">
        <v>45729</v>
      </c>
      <c r="C145" t="str">
        <f>PROPER(TRIM(Sales_Data!C183))</f>
        <v>North</v>
      </c>
      <c r="D145" t="str">
        <f>PROPER(TRIM(Sales_Data!D183))</f>
        <v>Ananya Rao</v>
      </c>
      <c r="E145" t="str">
        <f>PROPER(TRIM(Sales_Data!E183))</f>
        <v>Gel Pen Pack</v>
      </c>
      <c r="F145" t="str">
        <f>PROPER(TRIM(Sales_Data!F183))</f>
        <v>Stationery</v>
      </c>
      <c r="G145">
        <f>IF(Sales_Data!G183=" ",0,Sales_Data!G183)</f>
        <v>11</v>
      </c>
      <c r="H145" s="6">
        <f>Sales_Data!H183</f>
        <v>120</v>
      </c>
      <c r="I145">
        <f>Table2[[#This Row],[Units]]*Table2[[#This Row],[Unit Price]]</f>
        <v>1320</v>
      </c>
      <c r="J145" t="str">
        <f>_xlfn.XLOOKUP(Table2[[#This Row],[Region Clean]],Table4[Region],Table4[Manager])</f>
        <v>Meera Nair</v>
      </c>
    </row>
    <row r="146" spans="1:10" x14ac:dyDescent="0.35">
      <c r="A146" s="8">
        <v>1094</v>
      </c>
      <c r="B146" s="12">
        <v>45735</v>
      </c>
      <c r="C146" t="str">
        <f>PROPER(TRIM(Sales_Data!C29))</f>
        <v>West</v>
      </c>
      <c r="D146" t="str">
        <f>PROPER(TRIM(Sales_Data!D29))</f>
        <v>Priya Mehta</v>
      </c>
      <c r="E146" t="str">
        <f>PROPER(TRIM(Sales_Data!E29))</f>
        <v>A4 Paper Ream</v>
      </c>
      <c r="F146" t="str">
        <f>PROPER(TRIM(Sales_Data!F29))</f>
        <v>Stationery</v>
      </c>
      <c r="G146">
        <f>IF(Sales_Data!G29=" ",0,Sales_Data!G29)</f>
        <v>5</v>
      </c>
      <c r="H146" s="6">
        <f>Sales_Data!H29</f>
        <v>250</v>
      </c>
      <c r="I146">
        <f>Table2[[#This Row],[Units]]*Table2[[#This Row],[Unit Price]]</f>
        <v>1250</v>
      </c>
      <c r="J146" t="str">
        <f>_xlfn.XLOOKUP(Table2[[#This Row],[Region Clean]],Table4[Region],Table4[Manager])</f>
        <v>Nikhil Verma</v>
      </c>
    </row>
    <row r="147" spans="1:10" x14ac:dyDescent="0.35">
      <c r="A147" s="8">
        <v>1132</v>
      </c>
      <c r="B147" s="12">
        <v>45735</v>
      </c>
      <c r="C147" t="str">
        <f>PROPER(TRIM(Sales_Data!C180))</f>
        <v>North</v>
      </c>
      <c r="D147" t="str">
        <f>PROPER(TRIM(Sales_Data!D180))</f>
        <v>Ravi Kumar</v>
      </c>
      <c r="E147" t="str">
        <f>PROPER(TRIM(Sales_Data!E180))</f>
        <v>Gel Pen Pack</v>
      </c>
      <c r="F147" t="str">
        <f>PROPER(TRIM(Sales_Data!F180))</f>
        <v>Stationery</v>
      </c>
      <c r="G147">
        <f>IF(Sales_Data!G180=" ",0,Sales_Data!G180)</f>
        <v>9</v>
      </c>
      <c r="H147" s="6">
        <f>Sales_Data!H180</f>
        <v>120</v>
      </c>
      <c r="I147">
        <f>Table2[[#This Row],[Units]]*Table2[[#This Row],[Unit Price]]</f>
        <v>1080</v>
      </c>
      <c r="J147" t="str">
        <f>_xlfn.XLOOKUP(Table2[[#This Row],[Region Clean]],Table4[Region],Table4[Manager])</f>
        <v>Meera Nair</v>
      </c>
    </row>
    <row r="148" spans="1:10" x14ac:dyDescent="0.35">
      <c r="A148" s="8">
        <v>1148</v>
      </c>
      <c r="B148" s="12">
        <v>45774</v>
      </c>
      <c r="C148" t="str">
        <f>PROPER(TRIM(Sales_Data!C21))</f>
        <v>East</v>
      </c>
      <c r="D148" t="str">
        <f>PROPER(TRIM(Sales_Data!D21))</f>
        <v>Amit Ghosh</v>
      </c>
      <c r="E148" t="str">
        <f>PROPER(TRIM(Sales_Data!E21))</f>
        <v>A4 Paper Ream</v>
      </c>
      <c r="F148" t="str">
        <f>PROPER(TRIM(Sales_Data!F21))</f>
        <v>Stationery</v>
      </c>
      <c r="G148">
        <f>IF(Sales_Data!G21=" ",0,Sales_Data!G21)</f>
        <v>4</v>
      </c>
      <c r="H148" s="6">
        <f>Sales_Data!H21</f>
        <v>250</v>
      </c>
      <c r="I148">
        <f>Table2[[#This Row],[Units]]*Table2[[#This Row],[Unit Price]]</f>
        <v>1000</v>
      </c>
      <c r="J148" t="str">
        <f>_xlfn.XLOOKUP(Table2[[#This Row],[Region Clean]],Table4[Region],Table4[Manager])</f>
        <v>Kavita Bose</v>
      </c>
    </row>
    <row r="149" spans="1:10" x14ac:dyDescent="0.35">
      <c r="A149" s="8">
        <v>1081</v>
      </c>
      <c r="B149" s="12">
        <v>45709</v>
      </c>
      <c r="C149" t="str">
        <f>PROPER(TRIM(Sales_Data!C45))</f>
        <v>West</v>
      </c>
      <c r="D149" t="str">
        <f>PROPER(TRIM(Sales_Data!D45))</f>
        <v>Rohan Shah</v>
      </c>
      <c r="E149" t="str">
        <f>PROPER(TRIM(Sales_Data!E45))</f>
        <v>A4 Paper Ream</v>
      </c>
      <c r="F149" t="str">
        <f>PROPER(TRIM(Sales_Data!F45))</f>
        <v>Stationery</v>
      </c>
      <c r="G149">
        <f>IF(Sales_Data!G45=" ",0,Sales_Data!G45)</f>
        <v>4</v>
      </c>
      <c r="H149" s="6">
        <f>Sales_Data!H45</f>
        <v>250</v>
      </c>
      <c r="I149">
        <f>Table2[[#This Row],[Units]]*Table2[[#This Row],[Unit Price]]</f>
        <v>1000</v>
      </c>
      <c r="J149" t="str">
        <f>_xlfn.XLOOKUP(Table2[[#This Row],[Region Clean]],Table4[Region],Table4[Manager])</f>
        <v>Nikhil Verma</v>
      </c>
    </row>
    <row r="150" spans="1:10" x14ac:dyDescent="0.35">
      <c r="A150" s="8">
        <v>1091</v>
      </c>
      <c r="B150" s="12">
        <v>45734</v>
      </c>
      <c r="C150" t="str">
        <f>PROPER(TRIM(Sales_Data!C12))</f>
        <v>East</v>
      </c>
      <c r="D150" t="str">
        <f>PROPER(TRIM(Sales_Data!D12))</f>
        <v>Amit Ghosh</v>
      </c>
      <c r="E150" t="str">
        <f>PROPER(TRIM(Sales_Data!E12))</f>
        <v>Gel Pen Pack</v>
      </c>
      <c r="F150" t="str">
        <f>PROPER(TRIM(Sales_Data!F12))</f>
        <v>Stationery</v>
      </c>
      <c r="G150">
        <f>IF(Sales_Data!G12=" ",0,Sales_Data!G12)</f>
        <v>7</v>
      </c>
      <c r="H150" s="6">
        <f>Sales_Data!H12</f>
        <v>120</v>
      </c>
      <c r="I150">
        <f>Table2[[#This Row],[Units]]*Table2[[#This Row],[Unit Price]]</f>
        <v>840</v>
      </c>
      <c r="J150" t="str">
        <f>_xlfn.XLOOKUP(Table2[[#This Row],[Region Clean]],Table4[Region],Table4[Manager])</f>
        <v>Kavita Bose</v>
      </c>
    </row>
    <row r="151" spans="1:10" x14ac:dyDescent="0.35">
      <c r="A151" s="8">
        <v>1078</v>
      </c>
      <c r="B151" s="12">
        <v>45763</v>
      </c>
      <c r="C151" t="str">
        <f>PROPER(TRIM(Sales_Data!C75))</f>
        <v>North</v>
      </c>
      <c r="D151" t="str">
        <f>PROPER(TRIM(Sales_Data!D75))</f>
        <v>Ravi Kumar</v>
      </c>
      <c r="E151" t="str">
        <f>PROPER(TRIM(Sales_Data!E75))</f>
        <v>Gel Pen Pack</v>
      </c>
      <c r="F151" t="str">
        <f>PROPER(TRIM(Sales_Data!F75))</f>
        <v>Stationery</v>
      </c>
      <c r="G151">
        <f>IF(Sales_Data!G75=" ",0,Sales_Data!G75)</f>
        <v>7</v>
      </c>
      <c r="H151" s="6">
        <f>Sales_Data!H75</f>
        <v>120</v>
      </c>
      <c r="I151">
        <f>Table2[[#This Row],[Units]]*Table2[[#This Row],[Unit Price]]</f>
        <v>840</v>
      </c>
      <c r="J151" t="str">
        <f>_xlfn.XLOOKUP(Table2[[#This Row],[Region Clean]],Table4[Region],Table4[Manager])</f>
        <v>Meera Nair</v>
      </c>
    </row>
    <row r="152" spans="1:10" x14ac:dyDescent="0.35">
      <c r="A152" s="8">
        <v>1043</v>
      </c>
      <c r="B152" s="12">
        <v>45682</v>
      </c>
      <c r="C152" t="str">
        <f>PROPER(TRIM(Sales_Data!C104))</f>
        <v>North</v>
      </c>
      <c r="D152" t="str">
        <f>PROPER(TRIM(Sales_Data!D104))</f>
        <v>Ananya Rao</v>
      </c>
      <c r="E152" t="str">
        <f>PROPER(TRIM(Sales_Data!E104))</f>
        <v>Gel Pen Pack</v>
      </c>
      <c r="F152" t="str">
        <f>PROPER(TRIM(Sales_Data!F104))</f>
        <v>Stationery</v>
      </c>
      <c r="G152">
        <f>IF(Sales_Data!G104=" ",0,Sales_Data!G104)</f>
        <v>7</v>
      </c>
      <c r="H152" s="6">
        <f>Sales_Data!H104</f>
        <v>120</v>
      </c>
      <c r="I152">
        <f>Table2[[#This Row],[Units]]*Table2[[#This Row],[Unit Price]]</f>
        <v>840</v>
      </c>
      <c r="J152" t="str">
        <f>_xlfn.XLOOKUP(Table2[[#This Row],[Region Clean]],Table4[Region],Table4[Manager])</f>
        <v>Meera Nair</v>
      </c>
    </row>
    <row r="153" spans="1:10" x14ac:dyDescent="0.35">
      <c r="A153" s="8">
        <v>1086</v>
      </c>
      <c r="B153" s="12">
        <v>45810</v>
      </c>
      <c r="C153" t="str">
        <f>PROPER(TRIM(Sales_Data!C50))</f>
        <v>West</v>
      </c>
      <c r="D153" t="str">
        <f>PROPER(TRIM(Sales_Data!D50))</f>
        <v>Rohan Shah</v>
      </c>
      <c r="E153" t="str">
        <f>PROPER(TRIM(Sales_Data!E50))</f>
        <v>Gel Pen Pack</v>
      </c>
      <c r="F153" t="str">
        <f>PROPER(TRIM(Sales_Data!F50))</f>
        <v>Stationery</v>
      </c>
      <c r="G153">
        <f>IF(Sales_Data!G50=" ",0,Sales_Data!G50)</f>
        <v>7</v>
      </c>
      <c r="H153" s="6">
        <f>Sales_Data!H50</f>
        <v>120</v>
      </c>
      <c r="I153">
        <f>Table2[[#This Row],[Units]]*Table2[[#This Row],[Unit Price]]</f>
        <v>840</v>
      </c>
      <c r="J153" t="str">
        <f>_xlfn.XLOOKUP(Table2[[#This Row],[Region Clean]],Table4[Region],Table4[Manager])</f>
        <v>Nikhil Verma</v>
      </c>
    </row>
    <row r="154" spans="1:10" x14ac:dyDescent="0.35">
      <c r="A154" s="8">
        <v>1011</v>
      </c>
      <c r="B154" s="12">
        <v>45818</v>
      </c>
      <c r="C154" t="str">
        <f>PROPER(TRIM(Sales_Data!C35))</f>
        <v>East</v>
      </c>
      <c r="D154" t="str">
        <f>PROPER(TRIM(Sales_Data!D35))</f>
        <v>Sneha Das</v>
      </c>
      <c r="E154" t="str">
        <f>PROPER(TRIM(Sales_Data!E35))</f>
        <v>Wireless Mouse</v>
      </c>
      <c r="F154" t="str">
        <f>PROPER(TRIM(Sales_Data!F35))</f>
        <v>Electronics</v>
      </c>
      <c r="G154">
        <f>IF(Sales_Data!G35=" ",0,Sales_Data!G35)</f>
        <v>1</v>
      </c>
      <c r="H154" s="6">
        <f>Sales_Data!H35</f>
        <v>799</v>
      </c>
      <c r="I154">
        <f>Table2[[#This Row],[Units]]*Table2[[#This Row],[Unit Price]]</f>
        <v>799</v>
      </c>
      <c r="J154" t="str">
        <f>_xlfn.XLOOKUP(Table2[[#This Row],[Region Clean]],Table4[Region],Table4[Manager])</f>
        <v>Kavita Bose</v>
      </c>
    </row>
    <row r="155" spans="1:10" x14ac:dyDescent="0.35">
      <c r="A155" s="8">
        <v>1039</v>
      </c>
      <c r="B155" s="12">
        <v>45819</v>
      </c>
      <c r="C155" t="str">
        <f>PROPER(TRIM(Sales_Data!C115))</f>
        <v>North</v>
      </c>
      <c r="D155" t="str">
        <f>PROPER(TRIM(Sales_Data!D115))</f>
        <v>Ravi Kumar</v>
      </c>
      <c r="E155" t="str">
        <f>PROPER(TRIM(Sales_Data!E115))</f>
        <v>Wireless Mouse</v>
      </c>
      <c r="F155" t="str">
        <f>PROPER(TRIM(Sales_Data!F115))</f>
        <v>Electronics</v>
      </c>
      <c r="G155">
        <f>IF(Sales_Data!G115=" ",0,Sales_Data!G115)</f>
        <v>1</v>
      </c>
      <c r="H155" s="6">
        <f>Sales_Data!H115</f>
        <v>799</v>
      </c>
      <c r="I155">
        <f>Table2[[#This Row],[Units]]*Table2[[#This Row],[Unit Price]]</f>
        <v>799</v>
      </c>
      <c r="J155" t="str">
        <f>_xlfn.XLOOKUP(Table2[[#This Row],[Region Clean]],Table4[Region],Table4[Manager])</f>
        <v>Meera Nair</v>
      </c>
    </row>
    <row r="156" spans="1:10" x14ac:dyDescent="0.35">
      <c r="A156" s="8">
        <v>1044</v>
      </c>
      <c r="B156" s="12">
        <v>45763</v>
      </c>
      <c r="C156" t="str">
        <f>PROPER(TRIM(Sales_Data!C124))</f>
        <v>West</v>
      </c>
      <c r="D156" t="str">
        <f>PROPER(TRIM(Sales_Data!D124))</f>
        <v>Priya Mehta</v>
      </c>
      <c r="E156" t="str">
        <f>PROPER(TRIM(Sales_Data!E124))</f>
        <v>Wireless Mouse</v>
      </c>
      <c r="F156" t="str">
        <f>PROPER(TRIM(Sales_Data!F124))</f>
        <v>Electronics</v>
      </c>
      <c r="G156">
        <f>IF(Sales_Data!G124=" ",0,Sales_Data!G124)</f>
        <v>1</v>
      </c>
      <c r="H156" s="6">
        <f>Sales_Data!H124</f>
        <v>799</v>
      </c>
      <c r="I156">
        <f>Table2[[#This Row],[Units]]*Table2[[#This Row],[Unit Price]]</f>
        <v>799</v>
      </c>
      <c r="J156" t="str">
        <f>_xlfn.XLOOKUP(Table2[[#This Row],[Region Clean]],Table4[Region],Table4[Manager])</f>
        <v>Nikhil Verma</v>
      </c>
    </row>
    <row r="157" spans="1:10" x14ac:dyDescent="0.35">
      <c r="A157" s="8">
        <v>1168</v>
      </c>
      <c r="B157" s="12">
        <v>45797</v>
      </c>
      <c r="C157" t="str">
        <f>PROPER(TRIM(Sales_Data!C143))</f>
        <v>South</v>
      </c>
      <c r="D157" t="str">
        <f>PROPER(TRIM(Sales_Data!D143))</f>
        <v>Divya Sharma</v>
      </c>
      <c r="E157" t="str">
        <f>PROPER(TRIM(Sales_Data!E143))</f>
        <v>A4 Paper Ream</v>
      </c>
      <c r="F157" t="str">
        <f>PROPER(TRIM(Sales_Data!F143))</f>
        <v>Stationery</v>
      </c>
      <c r="G157">
        <f>IF(Sales_Data!G143=" ",0,Sales_Data!G143)</f>
        <v>3</v>
      </c>
      <c r="H157" s="6">
        <f>Sales_Data!H143</f>
        <v>250</v>
      </c>
      <c r="I157">
        <f>Table2[[#This Row],[Units]]*Table2[[#This Row],[Unit Price]]</f>
        <v>750</v>
      </c>
      <c r="J157" t="str">
        <f>_xlfn.XLOOKUP(Table2[[#This Row],[Region Clean]],Table4[Region],Table4[Manager])</f>
        <v>Arjun Reddy</v>
      </c>
    </row>
    <row r="158" spans="1:10" x14ac:dyDescent="0.35">
      <c r="A158" s="8">
        <v>1020</v>
      </c>
      <c r="B158" s="12">
        <v>45822</v>
      </c>
      <c r="C158" t="str">
        <f>PROPER(TRIM(Sales_Data!C109))</f>
        <v>West</v>
      </c>
      <c r="D158" t="str">
        <f>PROPER(TRIM(Sales_Data!D109))</f>
        <v>Priya Mehta</v>
      </c>
      <c r="E158" t="str">
        <f>PROPER(TRIM(Sales_Data!E109))</f>
        <v>A4 Paper Ream</v>
      </c>
      <c r="F158" t="str">
        <f>PROPER(TRIM(Sales_Data!F109))</f>
        <v>Stationery</v>
      </c>
      <c r="G158">
        <f>IF(Sales_Data!G109=" ",0,Sales_Data!G109)</f>
        <v>3</v>
      </c>
      <c r="H158" s="6">
        <f>Sales_Data!H109</f>
        <v>250</v>
      </c>
      <c r="I158">
        <f>Table2[[#This Row],[Units]]*Table2[[#This Row],[Unit Price]]</f>
        <v>750</v>
      </c>
      <c r="J158" t="str">
        <f>_xlfn.XLOOKUP(Table2[[#This Row],[Region Clean]],Table4[Region],Table4[Manager])</f>
        <v>Nikhil Verma</v>
      </c>
    </row>
    <row r="159" spans="1:10" x14ac:dyDescent="0.35">
      <c r="A159" s="8">
        <v>1122</v>
      </c>
      <c r="B159" s="12">
        <v>45741</v>
      </c>
      <c r="C159" t="str">
        <f>PROPER(TRIM(Sales_Data!C80))</f>
        <v>South</v>
      </c>
      <c r="D159" t="str">
        <f>PROPER(TRIM(Sales_Data!D80))</f>
        <v>Karthik Iyer</v>
      </c>
      <c r="E159" t="str">
        <f>PROPER(TRIM(Sales_Data!E80))</f>
        <v>Gel Pen Pack</v>
      </c>
      <c r="F159" t="str">
        <f>PROPER(TRIM(Sales_Data!F80))</f>
        <v>Stationery</v>
      </c>
      <c r="G159">
        <f>IF(Sales_Data!G80=" ",0,Sales_Data!G80)</f>
        <v>6</v>
      </c>
      <c r="H159" s="6">
        <f>Sales_Data!H80</f>
        <v>120</v>
      </c>
      <c r="I159">
        <f>Table2[[#This Row],[Units]]*Table2[[#This Row],[Unit Price]]</f>
        <v>720</v>
      </c>
      <c r="J159" t="str">
        <f>_xlfn.XLOOKUP(Table2[[#This Row],[Region Clean]],Table4[Region],Table4[Manager])</f>
        <v>Arjun Reddy</v>
      </c>
    </row>
    <row r="160" spans="1:10" x14ac:dyDescent="0.35">
      <c r="A160" s="8">
        <v>1008</v>
      </c>
      <c r="B160" s="12">
        <v>45681</v>
      </c>
      <c r="C160" t="str">
        <f>PROPER(TRIM(Sales_Data!C157))</f>
        <v>West</v>
      </c>
      <c r="D160" t="str">
        <f>PROPER(TRIM(Sales_Data!D157))</f>
        <v>Priya Mehta</v>
      </c>
      <c r="E160" t="str">
        <f>PROPER(TRIM(Sales_Data!E157))</f>
        <v>Gel Pen Pack</v>
      </c>
      <c r="F160" t="str">
        <f>PROPER(TRIM(Sales_Data!F157))</f>
        <v>Stationery</v>
      </c>
      <c r="G160">
        <f>IF(Sales_Data!G157=" ",0,Sales_Data!G157)</f>
        <v>6</v>
      </c>
      <c r="H160" s="6">
        <f>Sales_Data!H157</f>
        <v>120</v>
      </c>
      <c r="I160">
        <f>Table2[[#This Row],[Units]]*Table2[[#This Row],[Unit Price]]</f>
        <v>720</v>
      </c>
      <c r="J160" t="str">
        <f>_xlfn.XLOOKUP(Table2[[#This Row],[Region Clean]],Table4[Region],Table4[Manager])</f>
        <v>Nikhil Verma</v>
      </c>
    </row>
    <row r="161" spans="1:10" x14ac:dyDescent="0.35">
      <c r="A161" s="8">
        <v>1002</v>
      </c>
      <c r="B161" s="12">
        <v>45715</v>
      </c>
      <c r="C161" t="str">
        <f>PROPER(TRIM(Sales_Data!C72))</f>
        <v>South</v>
      </c>
      <c r="D161" t="str">
        <f>PROPER(TRIM(Sales_Data!D72))</f>
        <v>Divya Sharma</v>
      </c>
      <c r="E161" t="str">
        <f>PROPER(TRIM(Sales_Data!E72))</f>
        <v>Notebook Set</v>
      </c>
      <c r="F161" t="str">
        <f>PROPER(TRIM(Sales_Data!F72))</f>
        <v>Stationery</v>
      </c>
      <c r="G161">
        <f>IF(Sales_Data!G72=" ",0,Sales_Data!G72)</f>
        <v>2</v>
      </c>
      <c r="H161" s="6">
        <f>Sales_Data!H72</f>
        <v>350</v>
      </c>
      <c r="I161">
        <f>Table2[[#This Row],[Units]]*Table2[[#This Row],[Unit Price]]</f>
        <v>700</v>
      </c>
      <c r="J161" t="str">
        <f>_xlfn.XLOOKUP(Table2[[#This Row],[Region Clean]],Table4[Region],Table4[Manager])</f>
        <v>Arjun Reddy</v>
      </c>
    </row>
    <row r="162" spans="1:10" x14ac:dyDescent="0.35">
      <c r="A162" s="8">
        <v>1123</v>
      </c>
      <c r="B162" s="12">
        <v>45755</v>
      </c>
      <c r="C162" t="str">
        <f>PROPER(TRIM(Sales_Data!C65))</f>
        <v>East</v>
      </c>
      <c r="D162" t="str">
        <f>PROPER(TRIM(Sales_Data!D65))</f>
        <v>Amit Ghosh</v>
      </c>
      <c r="E162" t="str">
        <f>PROPER(TRIM(Sales_Data!E65))</f>
        <v>A4 Paper Ream</v>
      </c>
      <c r="F162" t="str">
        <f>PROPER(TRIM(Sales_Data!F65))</f>
        <v>Stationery</v>
      </c>
      <c r="G162">
        <f>IF(Sales_Data!G65=" ",0,Sales_Data!G65)</f>
        <v>2</v>
      </c>
      <c r="H162" s="6">
        <f>Sales_Data!H65</f>
        <v>250</v>
      </c>
      <c r="I162">
        <f>Table2[[#This Row],[Units]]*Table2[[#This Row],[Unit Price]]</f>
        <v>500</v>
      </c>
      <c r="J162" t="str">
        <f>_xlfn.XLOOKUP(Table2[[#This Row],[Region Clean]],Table4[Region],Table4[Manager])</f>
        <v>Kavita Bose</v>
      </c>
    </row>
    <row r="163" spans="1:10" x14ac:dyDescent="0.35">
      <c r="A163" s="8">
        <v>1018</v>
      </c>
      <c r="B163" s="12">
        <v>45666</v>
      </c>
      <c r="C163" t="str">
        <f>PROPER(TRIM(Sales_Data!C130))</f>
        <v>East</v>
      </c>
      <c r="D163" t="str">
        <f>PROPER(TRIM(Sales_Data!D130))</f>
        <v>Amit Ghosh</v>
      </c>
      <c r="E163" t="str">
        <f>PROPER(TRIM(Sales_Data!E130))</f>
        <v>A4 Paper Ream</v>
      </c>
      <c r="F163" t="str">
        <f>PROPER(TRIM(Sales_Data!F130))</f>
        <v>Stationery</v>
      </c>
      <c r="G163">
        <f>IF(Sales_Data!G130=" ",0,Sales_Data!G130)</f>
        <v>2</v>
      </c>
      <c r="H163" s="6">
        <f>Sales_Data!H130</f>
        <v>250</v>
      </c>
      <c r="I163">
        <f>Table2[[#This Row],[Units]]*Table2[[#This Row],[Unit Price]]</f>
        <v>500</v>
      </c>
      <c r="J163" t="str">
        <f>_xlfn.XLOOKUP(Table2[[#This Row],[Region Clean]],Table4[Region],Table4[Manager])</f>
        <v>Kavita Bose</v>
      </c>
    </row>
    <row r="164" spans="1:10" x14ac:dyDescent="0.35">
      <c r="A164" s="8">
        <v>1066</v>
      </c>
      <c r="B164" s="12">
        <v>45827</v>
      </c>
      <c r="C164" t="str">
        <f>PROPER(TRIM(Sales_Data!C30))</f>
        <v>North</v>
      </c>
      <c r="D164" t="str">
        <f>PROPER(TRIM(Sales_Data!D30))</f>
        <v>Ravi Kumar</v>
      </c>
      <c r="E164" t="str">
        <f>PROPER(TRIM(Sales_Data!E30))</f>
        <v>A4 Paper Ream</v>
      </c>
      <c r="F164" t="str">
        <f>PROPER(TRIM(Sales_Data!F30))</f>
        <v>Stationery</v>
      </c>
      <c r="G164">
        <f>IF(Sales_Data!G30=" ",0,Sales_Data!G30)</f>
        <v>2</v>
      </c>
      <c r="H164" s="6">
        <f>Sales_Data!H30</f>
        <v>250</v>
      </c>
      <c r="I164">
        <f>Table2[[#This Row],[Units]]*Table2[[#This Row],[Unit Price]]</f>
        <v>500</v>
      </c>
      <c r="J164" t="str">
        <f>_xlfn.XLOOKUP(Table2[[#This Row],[Region Clean]],Table4[Region],Table4[Manager])</f>
        <v>Meera Nair</v>
      </c>
    </row>
    <row r="165" spans="1:10" x14ac:dyDescent="0.35">
      <c r="A165" s="8">
        <v>1124</v>
      </c>
      <c r="B165" s="12">
        <v>45778</v>
      </c>
      <c r="C165" t="str">
        <f>PROPER(TRIM(Sales_Data!C138))</f>
        <v>North</v>
      </c>
      <c r="D165" t="str">
        <f>PROPER(TRIM(Sales_Data!D138))</f>
        <v>Ravi Kumar</v>
      </c>
      <c r="E165" t="str">
        <f>PROPER(TRIM(Sales_Data!E138))</f>
        <v>Gel Pen Pack</v>
      </c>
      <c r="F165" t="str">
        <f>PROPER(TRIM(Sales_Data!F138))</f>
        <v>Stationery</v>
      </c>
      <c r="G165">
        <f>IF(Sales_Data!G138=" ",0,Sales_Data!G138)</f>
        <v>4</v>
      </c>
      <c r="H165" s="6">
        <f>Sales_Data!H138</f>
        <v>120</v>
      </c>
      <c r="I165">
        <f>Table2[[#This Row],[Units]]*Table2[[#This Row],[Unit Price]]</f>
        <v>480</v>
      </c>
      <c r="J165" t="str">
        <f>_xlfn.XLOOKUP(Table2[[#This Row],[Region Clean]],Table4[Region],Table4[Manager])</f>
        <v>Meera Nair</v>
      </c>
    </row>
    <row r="166" spans="1:10" x14ac:dyDescent="0.35">
      <c r="A166" s="8">
        <v>1014</v>
      </c>
      <c r="B166" s="12">
        <v>45751</v>
      </c>
      <c r="C166" t="str">
        <f>PROPER(TRIM(Sales_Data!C174))</f>
        <v>South</v>
      </c>
      <c r="D166" t="str">
        <f>PROPER(TRIM(Sales_Data!D174))</f>
        <v>Karthik Iyer</v>
      </c>
      <c r="E166" t="str">
        <f>PROPER(TRIM(Sales_Data!E174))</f>
        <v>Gel Pen Pack</v>
      </c>
      <c r="F166" t="str">
        <f>PROPER(TRIM(Sales_Data!F174))</f>
        <v>Stationery</v>
      </c>
      <c r="G166">
        <f>IF(Sales_Data!G174=" ",0,Sales_Data!G174)</f>
        <v>4</v>
      </c>
      <c r="H166" s="6">
        <f>Sales_Data!H174</f>
        <v>120</v>
      </c>
      <c r="I166">
        <f>Table2[[#This Row],[Units]]*Table2[[#This Row],[Unit Price]]</f>
        <v>480</v>
      </c>
      <c r="J166" t="str">
        <f>_xlfn.XLOOKUP(Table2[[#This Row],[Region Clean]],Table4[Region],Table4[Manager])</f>
        <v>Arjun Reddy</v>
      </c>
    </row>
    <row r="167" spans="1:10" x14ac:dyDescent="0.35">
      <c r="A167" s="8">
        <v>1029</v>
      </c>
      <c r="B167" s="12">
        <v>45787</v>
      </c>
      <c r="C167" t="str">
        <f>PROPER(TRIM(Sales_Data!C36))</f>
        <v>South</v>
      </c>
      <c r="D167" t="str">
        <f>PROPER(TRIM(Sales_Data!D36))</f>
        <v>Divya Sharma</v>
      </c>
      <c r="E167" t="str">
        <f>PROPER(TRIM(Sales_Data!E36))</f>
        <v>Gel Pen Pack</v>
      </c>
      <c r="F167" t="str">
        <f>PROPER(TRIM(Sales_Data!F36))</f>
        <v>Stationery</v>
      </c>
      <c r="G167">
        <f>IF(Sales_Data!G36=" ",0,Sales_Data!G36)</f>
        <v>3</v>
      </c>
      <c r="H167" s="6">
        <f>Sales_Data!H36</f>
        <v>120</v>
      </c>
      <c r="I167">
        <f>Table2[[#This Row],[Units]]*Table2[[#This Row],[Unit Price]]</f>
        <v>360</v>
      </c>
      <c r="J167" t="str">
        <f>_xlfn.XLOOKUP(Table2[[#This Row],[Region Clean]],Table4[Region],Table4[Manager])</f>
        <v>Arjun Reddy</v>
      </c>
    </row>
    <row r="168" spans="1:10" x14ac:dyDescent="0.35">
      <c r="A168" s="8">
        <v>1048</v>
      </c>
      <c r="B168" s="12">
        <v>45798</v>
      </c>
      <c r="C168" t="str">
        <f>PROPER(TRIM(Sales_Data!C32))</f>
        <v>North</v>
      </c>
      <c r="D168" t="str">
        <f>PROPER(TRIM(Sales_Data!D32))</f>
        <v>Ravi Kumar</v>
      </c>
      <c r="E168" t="str">
        <f>PROPER(TRIM(Sales_Data!E32))</f>
        <v>Notebook Set</v>
      </c>
      <c r="F168" t="str">
        <f>PROPER(TRIM(Sales_Data!F32))</f>
        <v>Stationery</v>
      </c>
      <c r="G168">
        <f>IF(Sales_Data!G32=" ",0,Sales_Data!G32)</f>
        <v>1</v>
      </c>
      <c r="H168" s="6">
        <f>Sales_Data!H32</f>
        <v>350</v>
      </c>
      <c r="I168">
        <f>Table2[[#This Row],[Units]]*Table2[[#This Row],[Unit Price]]</f>
        <v>350</v>
      </c>
      <c r="J168" t="str">
        <f>_xlfn.XLOOKUP(Table2[[#This Row],[Region Clean]],Table4[Region],Table4[Manager])</f>
        <v>Meera Nair</v>
      </c>
    </row>
    <row r="169" spans="1:10" x14ac:dyDescent="0.35">
      <c r="A169" s="8">
        <v>1025</v>
      </c>
      <c r="B169" s="12">
        <v>45810</v>
      </c>
      <c r="C169" t="str">
        <f>PROPER(TRIM(Sales_Data!C97))</f>
        <v>West</v>
      </c>
      <c r="D169" t="str">
        <f>PROPER(TRIM(Sales_Data!D97))</f>
        <v>Rohan Shah</v>
      </c>
      <c r="E169" t="str">
        <f>PROPER(TRIM(Sales_Data!E97))</f>
        <v>Notebook Set</v>
      </c>
      <c r="F169" t="str">
        <f>PROPER(TRIM(Sales_Data!F97))</f>
        <v>Stationery</v>
      </c>
      <c r="G169">
        <f>IF(Sales_Data!G97=" ",0,Sales_Data!G97)</f>
        <v>1</v>
      </c>
      <c r="H169" s="6">
        <f>Sales_Data!H97</f>
        <v>350</v>
      </c>
      <c r="I169">
        <f>Table2[[#This Row],[Units]]*Table2[[#This Row],[Unit Price]]</f>
        <v>350</v>
      </c>
      <c r="J169" t="str">
        <f>_xlfn.XLOOKUP(Table2[[#This Row],[Region Clean]],Table4[Region],Table4[Manager])</f>
        <v>Nikhil Verma</v>
      </c>
    </row>
    <row r="170" spans="1:10" x14ac:dyDescent="0.35">
      <c r="A170" s="8">
        <v>1061</v>
      </c>
      <c r="B170" s="12">
        <v>45829</v>
      </c>
      <c r="C170" t="str">
        <f>PROPER(TRIM(Sales_Data!C88))</f>
        <v>East</v>
      </c>
      <c r="D170" t="str">
        <f>PROPER(TRIM(Sales_Data!D88))</f>
        <v>Amit Ghosh</v>
      </c>
      <c r="E170" t="str">
        <f>PROPER(TRIM(Sales_Data!E88))</f>
        <v>Gel Pen Pack</v>
      </c>
      <c r="F170" t="str">
        <f>PROPER(TRIM(Sales_Data!F88))</f>
        <v>Stationery</v>
      </c>
      <c r="G170">
        <f>IF(Sales_Data!G88=" ",0,Sales_Data!G88)</f>
        <v>2</v>
      </c>
      <c r="H170" s="6">
        <f>Sales_Data!H88</f>
        <v>120</v>
      </c>
      <c r="I170">
        <f>Table2[[#This Row],[Units]]*Table2[[#This Row],[Unit Price]]</f>
        <v>240</v>
      </c>
      <c r="J170" t="str">
        <f>_xlfn.XLOOKUP(Table2[[#This Row],[Region Clean]],Table4[Region],Table4[Manager])</f>
        <v>Kavita Bose</v>
      </c>
    </row>
    <row r="171" spans="1:10" x14ac:dyDescent="0.35">
      <c r="A171" s="8">
        <v>1063</v>
      </c>
      <c r="B171" s="12">
        <v>45712</v>
      </c>
      <c r="C171" t="str">
        <f>PROPER(TRIM(Sales_Data!C136))</f>
        <v>East</v>
      </c>
      <c r="D171" t="str">
        <f>PROPER(TRIM(Sales_Data!D136))</f>
        <v>Sneha Das</v>
      </c>
      <c r="E171" t="str">
        <f>PROPER(TRIM(Sales_Data!E136))</f>
        <v>Gel Pen Pack</v>
      </c>
      <c r="F171" t="str">
        <f>PROPER(TRIM(Sales_Data!F136))</f>
        <v>Stationery</v>
      </c>
      <c r="G171">
        <f>IF(Sales_Data!G136=" ",0,Sales_Data!G136)</f>
        <v>2</v>
      </c>
      <c r="H171" s="6">
        <f>Sales_Data!H136</f>
        <v>120</v>
      </c>
      <c r="I171">
        <f>Table2[[#This Row],[Units]]*Table2[[#This Row],[Unit Price]]</f>
        <v>240</v>
      </c>
      <c r="J171" t="str">
        <f>_xlfn.XLOOKUP(Table2[[#This Row],[Region Clean]],Table4[Region],Table4[Manager])</f>
        <v>Kavita Bose</v>
      </c>
    </row>
    <row r="172" spans="1:10" x14ac:dyDescent="0.35">
      <c r="A172" s="8">
        <v>1026</v>
      </c>
      <c r="B172" s="12">
        <v>45832</v>
      </c>
      <c r="C172" t="str">
        <f>PROPER(TRIM(Sales_Data!C62))</f>
        <v>North</v>
      </c>
      <c r="D172" t="str">
        <f>PROPER(TRIM(Sales_Data!D62))</f>
        <v>Ananya Rao</v>
      </c>
      <c r="E172" t="str">
        <f>PROPER(TRIM(Sales_Data!E62))</f>
        <v>Gel Pen Pack</v>
      </c>
      <c r="F172" t="str">
        <f>PROPER(TRIM(Sales_Data!F62))</f>
        <v>Stationery</v>
      </c>
      <c r="G172">
        <f>IF(Sales_Data!G62=" ",0,Sales_Data!G62)</f>
        <v>2</v>
      </c>
      <c r="H172" s="6">
        <f>Sales_Data!H62</f>
        <v>120</v>
      </c>
      <c r="I172">
        <f>Table2[[#This Row],[Units]]*Table2[[#This Row],[Unit Price]]</f>
        <v>240</v>
      </c>
      <c r="J172" t="str">
        <f>_xlfn.XLOOKUP(Table2[[#This Row],[Region Clean]],Table4[Region],Table4[Manager])</f>
        <v>Meera Nair</v>
      </c>
    </row>
    <row r="173" spans="1:10" x14ac:dyDescent="0.35">
      <c r="A173" s="8">
        <v>1007</v>
      </c>
      <c r="B173" s="12">
        <v>45729</v>
      </c>
      <c r="C173" t="str">
        <f>PROPER(TRIM(Sales_Data!C38))</f>
        <v>South</v>
      </c>
      <c r="D173" t="str">
        <f>PROPER(TRIM(Sales_Data!D38))</f>
        <v>Divya Sharma</v>
      </c>
      <c r="E173" t="str">
        <f>PROPER(TRIM(Sales_Data!E38))</f>
        <v>Gel Pen Pack</v>
      </c>
      <c r="F173" t="str">
        <f>PROPER(TRIM(Sales_Data!F38))</f>
        <v>Stationery</v>
      </c>
      <c r="G173">
        <f>IF(Sales_Data!G38=" ",0,Sales_Data!G38)</f>
        <v>2</v>
      </c>
      <c r="H173" s="6">
        <f>Sales_Data!H38</f>
        <v>120</v>
      </c>
      <c r="I173">
        <f>Table2[[#This Row],[Units]]*Table2[[#This Row],[Unit Price]]</f>
        <v>240</v>
      </c>
      <c r="J173" t="str">
        <f>_xlfn.XLOOKUP(Table2[[#This Row],[Region Clean]],Table4[Region],Table4[Manager])</f>
        <v>Arjun Reddy</v>
      </c>
    </row>
    <row r="174" spans="1:10" x14ac:dyDescent="0.35">
      <c r="A174" s="8">
        <v>1162</v>
      </c>
      <c r="B174" s="12">
        <v>45673</v>
      </c>
      <c r="C174" t="str">
        <f>PROPER(TRIM(Sales_Data!C112))</f>
        <v>North</v>
      </c>
      <c r="D174" t="str">
        <f>PROPER(TRIM(Sales_Data!D112))</f>
        <v>Ravi Kumar</v>
      </c>
      <c r="E174" t="str">
        <f>PROPER(TRIM(Sales_Data!E112))</f>
        <v>Standing Desk</v>
      </c>
      <c r="F174" t="str">
        <f>PROPER(TRIM(Sales_Data!F112))</f>
        <v>Furniture</v>
      </c>
      <c r="G174">
        <f>IF(Sales_Data!G112=" ",0,Sales_Data!G112)</f>
        <v>0</v>
      </c>
      <c r="H174" s="6">
        <f>Sales_Data!H112</f>
        <v>15500</v>
      </c>
      <c r="I174">
        <f>Table2[[#This Row],[Units]]*Table2[[#This Row],[Unit Price]]</f>
        <v>0</v>
      </c>
      <c r="J174" t="str">
        <f>_xlfn.XLOOKUP(Table2[[#This Row],[Region Clean]],Table4[Region],Table4[Manager])</f>
        <v>Meera Nair</v>
      </c>
    </row>
    <row r="175" spans="1:10" x14ac:dyDescent="0.35">
      <c r="A175" s="8">
        <v>1001</v>
      </c>
      <c r="B175" s="12">
        <v>45821</v>
      </c>
      <c r="C175" t="str">
        <f>PROPER(TRIM(Sales_Data!C179))</f>
        <v>North</v>
      </c>
      <c r="D175" t="str">
        <f>PROPER(TRIM(Sales_Data!D179))</f>
        <v>Ravi Kumar</v>
      </c>
      <c r="E175" t="str">
        <f>PROPER(TRIM(Sales_Data!E179))</f>
        <v>A4 Paper Ream</v>
      </c>
      <c r="F175" t="str">
        <f>PROPER(TRIM(Sales_Data!F179))</f>
        <v>Stationery</v>
      </c>
      <c r="G175">
        <f>IF(Sales_Data!G179=" ",0,Sales_Data!G179)</f>
        <v>0</v>
      </c>
      <c r="H175" s="6">
        <f>Sales_Data!H179</f>
        <v>250</v>
      </c>
      <c r="I175">
        <f>Table2[[#This Row],[Units]]*Table2[[#This Row],[Unit Price]]</f>
        <v>0</v>
      </c>
      <c r="J175" t="str">
        <f>_xlfn.XLOOKUP(Table2[[#This Row],[Region Clean]],Table4[Region],Table4[Manager])</f>
        <v>Meera Nair</v>
      </c>
    </row>
    <row r="176" spans="1:10" x14ac:dyDescent="0.35">
      <c r="A176" s="8">
        <v>1116</v>
      </c>
      <c r="B176" s="12">
        <v>45797</v>
      </c>
      <c r="C176" t="str">
        <f>PROPER(TRIM(Sales_Data!C37))</f>
        <v>South</v>
      </c>
      <c r="D176" t="str">
        <f>PROPER(TRIM(Sales_Data!D37))</f>
        <v>Karthik Iyer</v>
      </c>
      <c r="E176" t="str">
        <f>PROPER(TRIM(Sales_Data!E37))</f>
        <v>Standing Desk</v>
      </c>
      <c r="F176" t="str">
        <f>PROPER(TRIM(Sales_Data!F37))</f>
        <v>Furniture</v>
      </c>
      <c r="G176">
        <f>IF(Sales_Data!G37=" ",0,Sales_Data!G37)</f>
        <v>0</v>
      </c>
      <c r="H176" s="6">
        <f>Sales_Data!H37</f>
        <v>15500</v>
      </c>
      <c r="I176">
        <f>Table2[[#This Row],[Units]]*Table2[[#This Row],[Unit Price]]</f>
        <v>0</v>
      </c>
      <c r="J176" t="str">
        <f>_xlfn.XLOOKUP(Table2[[#This Row],[Region Clean]],Table4[Region],Table4[Manager])</f>
        <v>Arjun Reddy</v>
      </c>
    </row>
    <row r="177" spans="1:10" x14ac:dyDescent="0.35">
      <c r="A177" s="8">
        <v>1070</v>
      </c>
      <c r="B177" s="12">
        <v>45766</v>
      </c>
      <c r="C177" t="str">
        <f>PROPER(TRIM(Sales_Data!C140))</f>
        <v>East</v>
      </c>
      <c r="D177" t="str">
        <f>PROPER(TRIM(Sales_Data!D140))</f>
        <v>Sneha Das</v>
      </c>
      <c r="E177" t="str">
        <f>PROPER(TRIM(Sales_Data!E140))</f>
        <v>Laptop Pro 14</v>
      </c>
      <c r="F177" t="str">
        <f>PROPER(TRIM(Sales_Data!F140))</f>
        <v>Electronics</v>
      </c>
      <c r="G177">
        <f>IF(Sales_Data!G140=" ",0,Sales_Data!G140)</f>
        <v>0</v>
      </c>
      <c r="H177" s="6">
        <f>Sales_Data!H140</f>
        <v>68000</v>
      </c>
      <c r="I177">
        <f>Table2[[#This Row],[Units]]*Table2[[#This Row],[Unit Price]]</f>
        <v>0</v>
      </c>
      <c r="J177" t="str">
        <f>_xlfn.XLOOKUP(Table2[[#This Row],[Region Clean]],Table4[Region],Table4[Manager])</f>
        <v>Kavita Bose</v>
      </c>
    </row>
    <row r="178" spans="1:10" x14ac:dyDescent="0.35">
      <c r="A178" s="8">
        <v>1047</v>
      </c>
      <c r="B178" s="12">
        <v>45729</v>
      </c>
      <c r="C178" t="str">
        <f>PROPER(TRIM(Sales_Data!C26))</f>
        <v>West</v>
      </c>
      <c r="D178" t="str">
        <f>PROPER(TRIM(Sales_Data!D26))</f>
        <v>Priya Mehta</v>
      </c>
      <c r="E178" t="str">
        <f>PROPER(TRIM(Sales_Data!E26))</f>
        <v>Wireless Mouse</v>
      </c>
      <c r="F178" t="str">
        <f>PROPER(TRIM(Sales_Data!F26))</f>
        <v>Electronics</v>
      </c>
      <c r="G178">
        <f>IF(Sales_Data!G26=" ",0,Sales_Data!G26)</f>
        <v>0</v>
      </c>
      <c r="H178" s="6">
        <f>Sales_Data!H26</f>
        <v>799</v>
      </c>
      <c r="I178">
        <f>Table2[[#This Row],[Units]]*Table2[[#This Row],[Unit Price]]</f>
        <v>0</v>
      </c>
      <c r="J178" t="str">
        <f>_xlfn.XLOOKUP(Table2[[#This Row],[Region Clean]],Table4[Region],Table4[Manager])</f>
        <v>Nikhil Verma</v>
      </c>
    </row>
    <row r="179" spans="1:10" x14ac:dyDescent="0.35">
      <c r="A179" s="8">
        <v>1093</v>
      </c>
      <c r="B179" s="12">
        <v>45828</v>
      </c>
      <c r="C179" t="str">
        <f>PROPER(TRIM(Sales_Data!C121))</f>
        <v>West</v>
      </c>
      <c r="D179" t="str">
        <f>PROPER(TRIM(Sales_Data!D121))</f>
        <v>Priya Mehta</v>
      </c>
      <c r="E179" t="str">
        <f>PROPER(TRIM(Sales_Data!E121))</f>
        <v>Bluetooth Speaker</v>
      </c>
      <c r="F179" t="str">
        <f>PROPER(TRIM(Sales_Data!F121))</f>
        <v>Electronics</v>
      </c>
      <c r="G179">
        <f>IF(Sales_Data!G121=" ",0,Sales_Data!G121)</f>
        <v>0</v>
      </c>
      <c r="H179" s="6">
        <f>Sales_Data!H121</f>
        <v>2999</v>
      </c>
      <c r="I179">
        <f>Table2[[#This Row],[Units]]*Table2[[#This Row],[Unit Price]]</f>
        <v>0</v>
      </c>
      <c r="J179" t="str">
        <f>_xlfn.XLOOKUP(Table2[[#This Row],[Region Clean]],Table4[Region],Table4[Manager])</f>
        <v>Nikhil Verma</v>
      </c>
    </row>
    <row r="180" spans="1:10" x14ac:dyDescent="0.35">
      <c r="A180" s="8">
        <v>1024</v>
      </c>
      <c r="B180" s="12">
        <v>45698</v>
      </c>
      <c r="C180" t="str">
        <f>PROPER(TRIM(Sales_Data!C149))</f>
        <v>West</v>
      </c>
      <c r="D180" t="str">
        <f>PROPER(TRIM(Sales_Data!D149))</f>
        <v>Priya Mehta</v>
      </c>
      <c r="E180" t="str">
        <f>PROPER(TRIM(Sales_Data!E149))</f>
        <v>27In Monitor</v>
      </c>
      <c r="F180" t="str">
        <f>PROPER(TRIM(Sales_Data!F149))</f>
        <v>Electronics</v>
      </c>
      <c r="G180">
        <f>IF(Sales_Data!G149=" ",0,Sales_Data!G149)</f>
        <v>0</v>
      </c>
      <c r="H180" s="6">
        <f>Sales_Data!H149</f>
        <v>18500</v>
      </c>
      <c r="I180">
        <f>Table2[[#This Row],[Units]]*Table2[[#This Row],[Unit Price]]</f>
        <v>0</v>
      </c>
      <c r="J180" t="str">
        <f>_xlfn.XLOOKUP(Table2[[#This Row],[Region Clean]],Table4[Region],Table4[Manager])</f>
        <v>Nikhil Verma</v>
      </c>
    </row>
    <row r="181" spans="1:10" x14ac:dyDescent="0.35">
      <c r="A181" s="8">
        <v>1139</v>
      </c>
      <c r="B181" s="12">
        <v>45814</v>
      </c>
      <c r="C181" t="str">
        <f>PROPER(TRIM(Sales_Data!C177))</f>
        <v>West</v>
      </c>
      <c r="D181" t="str">
        <f>PROPER(TRIM(Sales_Data!D177))</f>
        <v>Rohan Shah</v>
      </c>
      <c r="E181" t="str">
        <f>PROPER(TRIM(Sales_Data!E177))</f>
        <v>Laptop Pro 14</v>
      </c>
      <c r="F181" t="str">
        <f>PROPER(TRIM(Sales_Data!F177))</f>
        <v>Electronics</v>
      </c>
      <c r="G181">
        <f>IF(Sales_Data!G177=" ",0,Sales_Data!G177)</f>
        <v>0</v>
      </c>
      <c r="H181" s="6">
        <f>Sales_Data!H177</f>
        <v>68000</v>
      </c>
      <c r="I181">
        <f>Table2[[#This Row],[Units]]*Table2[[#This Row],[Unit Price]]</f>
        <v>0</v>
      </c>
      <c r="J181" t="str">
        <f>_xlfn.XLOOKUP(Table2[[#This Row],[Region Clean]],Table4[Region],Table4[Manager])</f>
        <v>Nikhil Verma</v>
      </c>
    </row>
  </sheetData>
  <conditionalFormatting sqref="I2:I18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ntainsText" dxfId="1" priority="5" operator="containsText" text="West">
      <formula>NOT(ISERROR(SEARCH("West",C1)))</formula>
    </cfRule>
  </conditionalFormatting>
  <conditionalFormatting sqref="G1:G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{499AA5DA-8707-428F-88D1-A6C6FEB33ADA}</x14:id>
        </ext>
      </extLst>
    </cfRule>
  </conditionalFormatting>
  <conditionalFormatting sqref="A2:I181">
    <cfRule type="expression" dxfId="0" priority="8">
      <formula>$I2&gt;50000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9AA5DA-8707-428F-88D1-A6C6FEB33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225B-9D49-4E5B-9525-6A497C36E757}">
  <dimension ref="A1:I26"/>
  <sheetViews>
    <sheetView workbookViewId="0">
      <selection activeCell="F11" sqref="F11"/>
    </sheetView>
  </sheetViews>
  <sheetFormatPr defaultRowHeight="14.5" x14ac:dyDescent="0.35"/>
  <cols>
    <col min="1" max="1" width="11.1796875" bestFit="1" customWidth="1"/>
    <col min="2" max="2" width="10.54296875" bestFit="1" customWidth="1"/>
    <col min="3" max="3" width="8.90625" bestFit="1" customWidth="1"/>
    <col min="4" max="5" width="12.36328125" bestFit="1" customWidth="1"/>
    <col min="6" max="6" width="11.26953125" bestFit="1" customWidth="1"/>
    <col min="7" max="7" width="7.81640625" bestFit="1" customWidth="1"/>
    <col min="8" max="8" width="14.36328125" bestFit="1" customWidth="1"/>
    <col min="9" max="9" width="10.36328125" bestFit="1" customWidth="1"/>
    <col min="10" max="10" width="7.81640625" bestFit="1" customWidth="1"/>
    <col min="11" max="11" width="12.36328125" bestFit="1" customWidth="1"/>
    <col min="12" max="12" width="11.26953125" bestFit="1" customWidth="1"/>
    <col min="13" max="115" width="10.08984375" bestFit="1" customWidth="1"/>
    <col min="116" max="116" width="10.7265625" bestFit="1" customWidth="1"/>
  </cols>
  <sheetData>
    <row r="1" spans="1:9" x14ac:dyDescent="0.35">
      <c r="A1" s="10" t="s">
        <v>166</v>
      </c>
      <c r="B1" t="s" vm="1">
        <v>172</v>
      </c>
    </row>
    <row r="3" spans="1:9" x14ac:dyDescent="0.35">
      <c r="A3" s="10" t="s">
        <v>170</v>
      </c>
      <c r="B3" s="10" t="s">
        <v>5</v>
      </c>
      <c r="H3" s="10" t="s">
        <v>173</v>
      </c>
      <c r="I3" t="s">
        <v>170</v>
      </c>
    </row>
    <row r="4" spans="1:9" x14ac:dyDescent="0.35">
      <c r="A4" s="10" t="s">
        <v>2</v>
      </c>
      <c r="B4" t="s">
        <v>34</v>
      </c>
      <c r="C4" t="s">
        <v>12</v>
      </c>
      <c r="D4" t="s">
        <v>20</v>
      </c>
      <c r="E4" t="s">
        <v>168</v>
      </c>
      <c r="H4" t="s">
        <v>40</v>
      </c>
      <c r="I4" s="6">
        <v>895307</v>
      </c>
    </row>
    <row r="5" spans="1:9" x14ac:dyDescent="0.35">
      <c r="A5" s="11" t="s">
        <v>25</v>
      </c>
      <c r="B5" s="6">
        <v>476594</v>
      </c>
      <c r="C5" s="6">
        <v>899400</v>
      </c>
      <c r="D5" s="6">
        <v>20870</v>
      </c>
      <c r="E5" s="6">
        <v>1396864</v>
      </c>
      <c r="H5" t="s">
        <v>14</v>
      </c>
      <c r="I5" s="6">
        <v>952121</v>
      </c>
    </row>
    <row r="6" spans="1:9" x14ac:dyDescent="0.35">
      <c r="A6" s="11" t="s">
        <v>9</v>
      </c>
      <c r="B6" s="6">
        <v>2117123</v>
      </c>
      <c r="C6" s="6">
        <v>547800</v>
      </c>
      <c r="D6" s="6">
        <v>15350</v>
      </c>
      <c r="E6" s="6">
        <v>2680273</v>
      </c>
      <c r="H6" t="s">
        <v>23</v>
      </c>
      <c r="I6" s="6">
        <v>651813</v>
      </c>
    </row>
    <row r="7" spans="1:9" x14ac:dyDescent="0.35">
      <c r="A7" s="11" t="s">
        <v>22</v>
      </c>
      <c r="B7" s="6">
        <v>1445127</v>
      </c>
      <c r="C7" s="6">
        <v>581300</v>
      </c>
      <c r="D7" s="6">
        <v>16450</v>
      </c>
      <c r="E7" s="6">
        <v>2042877</v>
      </c>
      <c r="H7" t="s">
        <v>32</v>
      </c>
      <c r="I7" s="6">
        <v>1391064</v>
      </c>
    </row>
    <row r="8" spans="1:9" x14ac:dyDescent="0.35">
      <c r="A8" s="11" t="s">
        <v>17</v>
      </c>
      <c r="B8" s="6">
        <v>2257444</v>
      </c>
      <c r="C8" s="6">
        <v>654500</v>
      </c>
      <c r="D8" s="6">
        <v>21200</v>
      </c>
      <c r="E8" s="6">
        <v>2933144</v>
      </c>
      <c r="H8" t="s">
        <v>29</v>
      </c>
      <c r="I8" s="6">
        <v>1512305</v>
      </c>
    </row>
    <row r="9" spans="1:9" x14ac:dyDescent="0.35">
      <c r="A9" s="11" t="s">
        <v>168</v>
      </c>
      <c r="B9" s="6">
        <v>6296288</v>
      </c>
      <c r="C9" s="6">
        <v>2683000</v>
      </c>
      <c r="D9" s="6">
        <v>73870</v>
      </c>
      <c r="E9" s="6">
        <v>9053158</v>
      </c>
      <c r="H9" t="s">
        <v>36</v>
      </c>
      <c r="I9" s="6">
        <v>1728152</v>
      </c>
    </row>
    <row r="10" spans="1:9" x14ac:dyDescent="0.35">
      <c r="H10" t="s">
        <v>18</v>
      </c>
      <c r="I10" s="6">
        <v>1420839</v>
      </c>
    </row>
    <row r="11" spans="1:9" x14ac:dyDescent="0.35">
      <c r="H11" t="s">
        <v>26</v>
      </c>
      <c r="I11" s="6">
        <v>501557</v>
      </c>
    </row>
    <row r="12" spans="1:9" x14ac:dyDescent="0.35">
      <c r="H12" t="s">
        <v>168</v>
      </c>
      <c r="I12" s="6">
        <v>9053158</v>
      </c>
    </row>
    <row r="13" spans="1:9" x14ac:dyDescent="0.35">
      <c r="A13" s="10" t="s">
        <v>5</v>
      </c>
      <c r="B13" t="s">
        <v>171</v>
      </c>
      <c r="D13" s="10" t="s">
        <v>167</v>
      </c>
      <c r="E13" t="s">
        <v>171</v>
      </c>
    </row>
    <row r="14" spans="1:9" x14ac:dyDescent="0.35">
      <c r="A14" s="11" t="s">
        <v>34</v>
      </c>
      <c r="B14" s="6">
        <v>6296288</v>
      </c>
      <c r="D14" s="11" t="s">
        <v>25</v>
      </c>
      <c r="E14" s="6">
        <v>1396864</v>
      </c>
    </row>
    <row r="15" spans="1:9" x14ac:dyDescent="0.35">
      <c r="A15" s="11" t="s">
        <v>12</v>
      </c>
      <c r="B15" s="6">
        <v>2683000</v>
      </c>
      <c r="D15" s="11" t="s">
        <v>9</v>
      </c>
      <c r="E15" s="6">
        <v>2680273</v>
      </c>
    </row>
    <row r="16" spans="1:9" x14ac:dyDescent="0.35">
      <c r="A16" s="11" t="s">
        <v>20</v>
      </c>
      <c r="B16" s="6">
        <v>73870</v>
      </c>
      <c r="D16" s="11" t="s">
        <v>22</v>
      </c>
      <c r="E16" s="6">
        <v>2042877</v>
      </c>
    </row>
    <row r="17" spans="1:5" x14ac:dyDescent="0.35">
      <c r="A17" s="11" t="s">
        <v>168</v>
      </c>
      <c r="B17" s="6">
        <v>9053158</v>
      </c>
      <c r="D17" s="11" t="s">
        <v>17</v>
      </c>
      <c r="E17" s="6">
        <v>2933144</v>
      </c>
    </row>
    <row r="18" spans="1:5" x14ac:dyDescent="0.35">
      <c r="D18" s="11" t="s">
        <v>168</v>
      </c>
      <c r="E18" s="6">
        <v>9053158</v>
      </c>
    </row>
    <row r="19" spans="1:5" x14ac:dyDescent="0.35">
      <c r="A19" s="10" t="s">
        <v>180</v>
      </c>
      <c r="B19" t="s">
        <v>171</v>
      </c>
    </row>
    <row r="20" spans="1:5" x14ac:dyDescent="0.35">
      <c r="A20" s="11" t="s">
        <v>174</v>
      </c>
      <c r="B20" s="6">
        <v>1372298</v>
      </c>
    </row>
    <row r="21" spans="1:5" x14ac:dyDescent="0.35">
      <c r="A21" s="11" t="s">
        <v>175</v>
      </c>
      <c r="B21" s="6">
        <v>1056357</v>
      </c>
    </row>
    <row r="22" spans="1:5" x14ac:dyDescent="0.35">
      <c r="A22" s="11" t="s">
        <v>176</v>
      </c>
      <c r="B22" s="6">
        <v>1917415</v>
      </c>
    </row>
    <row r="23" spans="1:5" x14ac:dyDescent="0.35">
      <c r="A23" s="11" t="s">
        <v>177</v>
      </c>
      <c r="B23" s="6">
        <v>892391</v>
      </c>
    </row>
    <row r="24" spans="1:5" x14ac:dyDescent="0.35">
      <c r="A24" s="11" t="s">
        <v>178</v>
      </c>
      <c r="B24" s="6">
        <v>2545980</v>
      </c>
    </row>
    <row r="25" spans="1:5" x14ac:dyDescent="0.35">
      <c r="A25" s="11" t="s">
        <v>179</v>
      </c>
      <c r="B25" s="6">
        <v>1268717</v>
      </c>
    </row>
    <row r="26" spans="1:5" x14ac:dyDescent="0.35">
      <c r="A26" s="11" t="s">
        <v>168</v>
      </c>
      <c r="B26" s="6">
        <v>9053158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209B-9E76-4F64-944D-FF7C4F30A6BA}">
  <dimension ref="A1:B5"/>
  <sheetViews>
    <sheetView workbookViewId="0">
      <selection activeCell="F2" sqref="F2"/>
    </sheetView>
  </sheetViews>
  <sheetFormatPr defaultRowHeight="14.5" x14ac:dyDescent="0.35"/>
  <cols>
    <col min="1" max="1" width="8.453125" customWidth="1"/>
    <col min="2" max="2" width="11.36328125" bestFit="1" customWidth="1"/>
    <col min="5" max="5" width="14.36328125" bestFit="1" customWidth="1"/>
    <col min="6" max="6" width="11" bestFit="1" customWidth="1"/>
    <col min="7" max="8" width="12.1796875" bestFit="1" customWidth="1"/>
    <col min="9" max="9" width="16.1796875" bestFit="1" customWidth="1"/>
    <col min="10" max="10" width="9.7265625" bestFit="1" customWidth="1"/>
    <col min="11" max="11" width="8.7265625" bestFit="1" customWidth="1"/>
  </cols>
  <sheetData>
    <row r="1" spans="1:2" ht="15.5" customHeight="1" x14ac:dyDescent="0.35">
      <c r="A1" s="15" t="s">
        <v>2</v>
      </c>
      <c r="B1" s="15" t="s">
        <v>181</v>
      </c>
    </row>
    <row r="2" spans="1:2" ht="15.5" customHeight="1" x14ac:dyDescent="0.35">
      <c r="A2" s="16" t="s">
        <v>9</v>
      </c>
      <c r="B2" s="16" t="s">
        <v>182</v>
      </c>
    </row>
    <row r="3" spans="1:2" ht="15.5" customHeight="1" x14ac:dyDescent="0.35">
      <c r="A3" s="16" t="s">
        <v>22</v>
      </c>
      <c r="B3" s="16" t="s">
        <v>183</v>
      </c>
    </row>
    <row r="4" spans="1:2" ht="15.5" customHeight="1" x14ac:dyDescent="0.35">
      <c r="A4" s="16" t="s">
        <v>25</v>
      </c>
      <c r="B4" s="16" t="s">
        <v>184</v>
      </c>
    </row>
    <row r="5" spans="1:2" ht="15.5" customHeight="1" x14ac:dyDescent="0.35">
      <c r="A5" s="16" t="s">
        <v>17</v>
      </c>
      <c r="B5" s="16" t="s">
        <v>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Dashboard</vt:lpstr>
      <vt:lpstr>Cleaned Dataset</vt:lpstr>
      <vt:lpstr>Pivot Tables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chiruratnala4@gmail.com</cp:lastModifiedBy>
  <dcterms:created xsi:type="dcterms:W3CDTF">2026-07-30T03:49:12Z</dcterms:created>
  <dcterms:modified xsi:type="dcterms:W3CDTF">2026-07-30T09:09:58Z</dcterms:modified>
</cp:coreProperties>
</file>